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" sheetId="1" r:id="rId4"/>
    <sheet state="visible" name="cálculo" sheetId="2" r:id="rId5"/>
    <sheet state="visible" name="lenguajes" sheetId="3" r:id="rId6"/>
    <sheet state="visible" name="coeficientes y exponentes" sheetId="4" r:id="rId7"/>
    <sheet state="visible" name="fórmuas" sheetId="5" r:id="rId8"/>
    <sheet state="visible" name="comprobación" sheetId="6" r:id="rId9"/>
  </sheets>
  <definedNames>
    <definedName name="lenguajes">lenguajes!$A$2:$C$483</definedName>
  </definedNames>
  <calcPr/>
  <extLst>
    <ext uri="GoogleSheetsCustomDataVersion2">
      <go:sheetsCustomData xmlns:go="http://customooxmlschemas.google.com/" r:id="rId10" roundtripDataChecksum="RyXn3keJdfoqkvgq3mvXgc01Yp7plvdcZNDCULjC3ns="/>
    </ext>
  </extLst>
</workbook>
</file>

<file path=xl/sharedStrings.xml><?xml version="1.0" encoding="utf-8"?>
<sst xmlns="http://schemas.openxmlformats.org/spreadsheetml/2006/main" count="1085" uniqueCount="1065">
  <si>
    <t>No.</t>
  </si>
  <si>
    <t>Pregunta</t>
  </si>
  <si>
    <t>Valor</t>
  </si>
  <si>
    <t>1.        </t>
  </si>
  <si>
    <t>Comunicación de datos</t>
  </si>
  <si>
    <t>2.        </t>
  </si>
  <si>
    <t>Procesamiento distribuido</t>
  </si>
  <si>
    <t>3.        </t>
  </si>
  <si>
    <t>Perfomance (desempeño)</t>
  </si>
  <si>
    <t>4.        </t>
  </si>
  <si>
    <t>Configuración del equipamiento</t>
  </si>
  <si>
    <t>5.        </t>
  </si>
  <si>
    <t>Volumen de transacciones</t>
  </si>
  <si>
    <t>6.        </t>
  </si>
  <si>
    <t>Entrada de datos on-line</t>
  </si>
  <si>
    <t>7.        </t>
  </si>
  <si>
    <t>Interfase con el usuario</t>
  </si>
  <si>
    <t>8.        </t>
  </si>
  <si>
    <t>Actualización on-line</t>
  </si>
  <si>
    <t>9.        </t>
  </si>
  <si>
    <t>Procesamiento complejo</t>
  </si>
  <si>
    <t>10.     </t>
  </si>
  <si>
    <t>Reusabilidad</t>
  </si>
  <si>
    <t>11.     </t>
  </si>
  <si>
    <t>Facilidad de implementación</t>
  </si>
  <si>
    <t>12.     </t>
  </si>
  <si>
    <t>Facilidad de operación</t>
  </si>
  <si>
    <t>13.     </t>
  </si>
  <si>
    <t>Múltiples locales</t>
  </si>
  <si>
    <t>14.     </t>
  </si>
  <si>
    <t>Facilidad de cambios</t>
  </si>
  <si>
    <t>Total</t>
  </si>
  <si>
    <t>Guías</t>
  </si>
  <si>
    <t>Sin influencia</t>
  </si>
  <si>
    <t>Incidental</t>
  </si>
  <si>
    <t>Moderado</t>
  </si>
  <si>
    <t>Medio</t>
  </si>
  <si>
    <t>Significativo</t>
  </si>
  <si>
    <t>Esencial</t>
  </si>
  <si>
    <t>Nivel de influecia</t>
  </si>
  <si>
    <t>Valores</t>
  </si>
  <si>
    <t>Entradas</t>
  </si>
  <si>
    <t>Salidas</t>
  </si>
  <si>
    <t>Peticiones</t>
  </si>
  <si>
    <t>ALI</t>
  </si>
  <si>
    <t>AIE</t>
  </si>
  <si>
    <t>FA</t>
  </si>
  <si>
    <t xml:space="preserve"> </t>
  </si>
  <si>
    <t>PF=</t>
  </si>
  <si>
    <t>Determinación de LDC</t>
  </si>
  <si>
    <t>Lenguaje</t>
  </si>
  <si>
    <t>Tercera Generación</t>
  </si>
  <si>
    <t>Python</t>
  </si>
  <si>
    <t>PostgreSQL</t>
  </si>
  <si>
    <t>LDC</t>
  </si>
  <si>
    <t>KLDC</t>
  </si>
  <si>
    <t>Determinación del esfuerzo-tiempo-personas</t>
  </si>
  <si>
    <t>Esfuerzo P/M</t>
  </si>
  <si>
    <t>Tiempo desarrollo</t>
  </si>
  <si>
    <t>Número de personas</t>
  </si>
  <si>
    <t>Determinación pago persona meses</t>
  </si>
  <si>
    <t>pago por personas/mes (8,000)</t>
  </si>
  <si>
    <t>pago durante los meses/personas</t>
  </si>
  <si>
    <t>Varios</t>
  </si>
  <si>
    <t>Renta</t>
  </si>
  <si>
    <t>Luz</t>
  </si>
  <si>
    <t>Internet</t>
  </si>
  <si>
    <t>Viáticos</t>
  </si>
  <si>
    <t>mensual</t>
  </si>
  <si>
    <t>Total mensual</t>
  </si>
  <si>
    <t>Resultados</t>
  </si>
  <si>
    <t>Meses</t>
  </si>
  <si>
    <t>Personas</t>
  </si>
  <si>
    <t>Costo total proyecto</t>
  </si>
  <si>
    <t>Codigo</t>
  </si>
  <si>
    <t>mantenimiento</t>
  </si>
  <si>
    <t>no.</t>
  </si>
  <si>
    <t>valor</t>
  </si>
  <si>
    <r>
      <rPr>
        <rFont val="Century Gothic"/>
        <color theme="1"/>
        <sz val="10.0"/>
      </rPr>
      <t>1.</t>
    </r>
    <r>
      <rPr>
        <rFont val="Century Gothic"/>
        <color theme="1"/>
        <sz val="7.0"/>
      </rPr>
      <t xml:space="preserve">       </t>
    </r>
    <r>
      <rPr>
        <rFont val="Century Gothic"/>
        <color theme="1"/>
        <sz val="10.0"/>
      </rPr>
      <t> </t>
    </r>
  </si>
  <si>
    <t>Primera Generación</t>
  </si>
  <si>
    <r>
      <rPr>
        <rFont val="Century Gothic"/>
        <color theme="1"/>
        <sz val="10.0"/>
      </rPr>
      <t>2.</t>
    </r>
    <r>
      <rPr>
        <rFont val="Century Gothic"/>
        <color theme="1"/>
        <sz val="7.0"/>
      </rPr>
      <t xml:space="preserve">       </t>
    </r>
    <r>
      <rPr>
        <rFont val="Century Gothic"/>
        <color theme="1"/>
        <sz val="10.0"/>
      </rPr>
      <t> </t>
    </r>
  </si>
  <si>
    <t>Segunda Generación</t>
  </si>
  <si>
    <r>
      <rPr>
        <rFont val="Century Gothic"/>
        <color theme="1"/>
        <sz val="10.0"/>
      </rPr>
      <t>3.</t>
    </r>
    <r>
      <rPr>
        <rFont val="Century Gothic"/>
        <color theme="1"/>
        <sz val="7.0"/>
      </rPr>
      <t xml:space="preserve">       </t>
    </r>
    <r>
      <rPr>
        <rFont val="Century Gothic"/>
        <color theme="1"/>
        <sz val="10.0"/>
      </rPr>
      <t> </t>
    </r>
  </si>
  <si>
    <r>
      <rPr>
        <rFont val="Century Gothic"/>
        <color theme="1"/>
        <sz val="10.0"/>
      </rPr>
      <t>4.</t>
    </r>
    <r>
      <rPr>
        <rFont val="Century Gothic"/>
        <color theme="1"/>
        <sz val="7.0"/>
      </rPr>
      <t xml:space="preserve">       </t>
    </r>
    <r>
      <rPr>
        <rFont val="Century Gothic"/>
        <color theme="1"/>
        <sz val="10.0"/>
      </rPr>
      <t> </t>
    </r>
  </si>
  <si>
    <t>Cuarta Generación</t>
  </si>
  <si>
    <r>
      <rPr>
        <rFont val="Century Gothic"/>
        <color theme="1"/>
        <sz val="10.0"/>
      </rPr>
      <t>5.</t>
    </r>
    <r>
      <rPr>
        <rFont val="Century Gothic"/>
        <color theme="1"/>
        <sz val="7.0"/>
      </rPr>
      <t xml:space="preserve">       </t>
    </r>
    <r>
      <rPr>
        <rFont val="Century Gothic"/>
        <color theme="1"/>
        <sz val="10.0"/>
      </rPr>
      <t> </t>
    </r>
  </si>
  <si>
    <t>Quinta Generación</t>
  </si>
  <si>
    <r>
      <rPr>
        <rFont val="Century Gothic"/>
        <color theme="1"/>
        <sz val="10.0"/>
      </rPr>
      <t>6.</t>
    </r>
    <r>
      <rPr>
        <rFont val="Century Gothic"/>
        <color theme="1"/>
        <sz val="7.0"/>
      </rPr>
      <t xml:space="preserve">       </t>
    </r>
    <r>
      <rPr>
        <rFont val="Century Gothic"/>
        <color theme="1"/>
        <sz val="10.0"/>
      </rPr>
      <t> </t>
    </r>
  </si>
  <si>
    <t>AAS Macro</t>
  </si>
  <si>
    <r>
      <rPr>
        <rFont val="Century Gothic"/>
        <color theme="1"/>
        <sz val="10.0"/>
      </rPr>
      <t>7.</t>
    </r>
    <r>
      <rPr>
        <rFont val="Century Gothic"/>
        <color theme="1"/>
        <sz val="7.0"/>
      </rPr>
      <t xml:space="preserve">       </t>
    </r>
    <r>
      <rPr>
        <rFont val="Century Gothic"/>
        <color theme="1"/>
        <sz val="10.0"/>
      </rPr>
      <t> </t>
    </r>
  </si>
  <si>
    <t>ABAP/4</t>
  </si>
  <si>
    <r>
      <rPr>
        <rFont val="Century Gothic"/>
        <color theme="1"/>
        <sz val="10.0"/>
      </rPr>
      <t>8.</t>
    </r>
    <r>
      <rPr>
        <rFont val="Century Gothic"/>
        <color theme="1"/>
        <sz val="7.0"/>
      </rPr>
      <t xml:space="preserve">       </t>
    </r>
    <r>
      <rPr>
        <rFont val="Century Gothic"/>
        <color theme="1"/>
        <sz val="10.0"/>
      </rPr>
      <t> </t>
    </r>
  </si>
  <si>
    <t>ACCEL</t>
  </si>
  <si>
    <r>
      <rPr>
        <rFont val="Century Gothic"/>
        <color theme="1"/>
        <sz val="10.0"/>
      </rPr>
      <t>9.</t>
    </r>
    <r>
      <rPr>
        <rFont val="Century Gothic"/>
        <color theme="1"/>
        <sz val="7.0"/>
      </rPr>
      <t xml:space="preserve">       </t>
    </r>
    <r>
      <rPr>
        <rFont val="Century Gothic"/>
        <color theme="1"/>
        <sz val="10.0"/>
      </rPr>
      <t> </t>
    </r>
  </si>
  <si>
    <t>Access</t>
  </si>
  <si>
    <r>
      <rPr>
        <rFont val="Century Gothic"/>
        <color theme="1"/>
        <sz val="10.0"/>
      </rPr>
      <t>10.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</si>
  <si>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ACTOR</t>
  </si>
  <si>
    <r>
      <rPr>
        <rFont val="Century Gothic"/>
        <color theme="1"/>
        <sz val="10.0"/>
      </rPr>
      <t>11.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</si>
  <si>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Acumen</t>
  </si>
  <si>
    <r>
      <rPr>
        <rFont val="Century Gothic"/>
        <color theme="1"/>
        <sz val="10.0"/>
      </rPr>
      <t>12.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</si>
  <si>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Ada 83</t>
  </si>
  <si>
    <r>
      <rPr>
        <rFont val="Century Gothic"/>
        <color theme="1"/>
        <sz val="10.0"/>
      </rPr>
      <t>13.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</si>
  <si>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Ada 95</t>
  </si>
  <si>
    <r>
      <rPr>
        <rFont val="Century Gothic"/>
        <color theme="1"/>
        <sz val="10.0"/>
      </rPr>
      <t>14.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</si>
  <si>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ADR/DL</t>
  </si>
  <si>
    <r>
      <rPr>
        <rFont val="Century Gothic"/>
        <color theme="1"/>
        <sz val="10.0"/>
      </rPr>
      <t>15.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</si>
  <si>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ADR/IDEAL/PDL</t>
  </si>
  <si>
    <r>
      <rPr>
        <rFont val="Century Gothic"/>
        <color theme="1"/>
        <sz val="10.0"/>
      </rPr>
      <t>16.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</si>
  <si>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ADS/Batch</t>
  </si>
  <si>
    <r>
      <rPr>
        <rFont val="Century Gothic"/>
        <color theme="1"/>
        <sz val="10.0"/>
      </rPr>
      <t>17.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</si>
  <si>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ADS/Online</t>
  </si>
  <si>
    <r>
      <rPr>
        <rFont val="Century Gothic"/>
        <color theme="1"/>
        <sz val="10.0"/>
      </rPr>
      <t>18.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</si>
  <si>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AI shell default</t>
  </si>
  <si>
    <r>
      <rPr>
        <rFont val="Century Gothic"/>
        <color theme="1"/>
        <sz val="10.0"/>
      </rPr>
      <t>19.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</si>
  <si>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AI SHELLS</t>
  </si>
  <si>
    <r>
      <rPr>
        <rFont val="Century Gothic"/>
        <color theme="1"/>
        <sz val="10.0"/>
      </rPr>
      <t>20.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</si>
  <si>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ALGOL 68</t>
  </si>
  <si>
    <r>
      <rPr>
        <rFont val="Century Gothic"/>
        <color theme="1"/>
        <sz val="10.0"/>
      </rPr>
      <t>21.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</si>
  <si>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ALGOL W</t>
  </si>
  <si>
    <r>
      <rPr>
        <rFont val="Century Gothic"/>
        <color theme="1"/>
        <sz val="10.0"/>
      </rPr>
      <t>22.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</si>
  <si>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AMBUSH</t>
  </si>
  <si>
    <r>
      <rPr>
        <rFont val="Century Gothic"/>
        <color theme="1"/>
        <sz val="10.0"/>
      </rPr>
      <t>23.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</si>
  <si>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AML</t>
  </si>
  <si>
    <r>
      <rPr>
        <rFont val="Century Gothic"/>
        <color theme="1"/>
        <sz val="10.0"/>
      </rPr>
      <t>24.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</si>
  <si>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AMPPL II</t>
  </si>
  <si>
    <r>
      <rPr>
        <rFont val="Century Gothic"/>
        <color theme="1"/>
        <sz val="10.0"/>
      </rPr>
      <t>25.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</si>
  <si>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ANSI BASIC</t>
  </si>
  <si>
    <r>
      <rPr>
        <rFont val="Century Gothic"/>
        <color theme="1"/>
        <sz val="10.0"/>
      </rPr>
      <t>26.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</si>
  <si>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ANSI COBOL 74</t>
  </si>
  <si>
    <r>
      <rPr>
        <rFont val="Century Gothic"/>
        <color theme="1"/>
        <sz val="10.0"/>
      </rPr>
      <t>27.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</si>
  <si>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ANSI COBOL 85</t>
  </si>
  <si>
    <r>
      <rPr>
        <rFont val="Century Gothic"/>
        <color theme="1"/>
        <sz val="10.0"/>
      </rPr>
      <t>28.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</si>
  <si>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ANSI SQL</t>
  </si>
  <si>
    <r>
      <rPr>
        <rFont val="Century Gothic"/>
        <color theme="1"/>
        <sz val="10.0"/>
      </rPr>
      <t>29.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</si>
  <si>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ANSWER/DB</t>
  </si>
  <si>
    <r>
      <rPr>
        <rFont val="Century Gothic"/>
        <color theme="1"/>
        <sz val="10.0"/>
      </rPr>
      <t>30.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</si>
  <si>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APL 360/370</t>
  </si>
  <si>
    <r>
      <rPr>
        <rFont val="Century Gothic"/>
        <color theme="1"/>
        <sz val="10.0"/>
      </rPr>
      <t>31.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</si>
  <si>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APL default</t>
  </si>
  <si>
    <r>
      <rPr>
        <rFont val="Century Gothic"/>
        <color theme="1"/>
        <sz val="10.0"/>
      </rPr>
      <t>32.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</si>
  <si>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APL*PLUS</t>
  </si>
  <si>
    <r>
      <rPr>
        <rFont val="Century Gothic"/>
        <color theme="1"/>
        <sz val="10.0"/>
      </rPr>
      <t>33.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</si>
  <si>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APPLESOFT BASIC</t>
  </si>
  <si>
    <r>
      <rPr>
        <rFont val="Century Gothic"/>
        <color theme="1"/>
        <sz val="10.0"/>
      </rPr>
      <t>34.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</si>
  <si>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Application Builder</t>
  </si>
  <si>
    <r>
      <rPr>
        <rFont val="Century Gothic"/>
        <color theme="1"/>
        <sz val="10.0"/>
      </rPr>
      <t>35.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</si>
  <si>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Application Manager</t>
  </si>
  <si>
    <r>
      <rPr>
        <rFont val="Century Gothic"/>
        <color theme="1"/>
        <sz val="10.0"/>
      </rPr>
      <t>36.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</si>
  <si>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APS</t>
  </si>
  <si>
    <r>
      <rPr>
        <rFont val="Century Gothic"/>
        <color theme="1"/>
        <sz val="10.0"/>
      </rPr>
      <t>37.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</si>
  <si>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APT</t>
  </si>
  <si>
    <r>
      <rPr>
        <rFont val="Century Gothic"/>
        <color theme="1"/>
        <sz val="10.0"/>
      </rPr>
      <t>38.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</si>
  <si>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APTools</t>
  </si>
  <si>
    <r>
      <rPr>
        <rFont val="Century Gothic"/>
        <color theme="1"/>
        <sz val="10.0"/>
      </rPr>
      <t>39.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</si>
  <si>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ARC</t>
  </si>
  <si>
    <r>
      <rPr>
        <rFont val="Century Gothic"/>
        <color theme="1"/>
        <sz val="10.0"/>
      </rPr>
      <t>40.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</si>
  <si>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Ariel</t>
  </si>
  <si>
    <r>
      <rPr>
        <rFont val="Century Gothic"/>
        <color theme="1"/>
        <sz val="10.0"/>
      </rPr>
      <t>41.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</si>
  <si>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ARITY</t>
  </si>
  <si>
    <r>
      <rPr>
        <rFont val="Century Gothic"/>
        <color theme="1"/>
        <sz val="10.0"/>
      </rPr>
      <t>42.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</si>
  <si>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Arity PROLOG</t>
  </si>
  <si>
    <r>
      <rPr>
        <rFont val="Century Gothic"/>
        <color theme="1"/>
        <sz val="10.0"/>
      </rPr>
      <t>43.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</si>
  <si>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ART</t>
  </si>
  <si>
    <r>
      <rPr>
        <rFont val="Century Gothic"/>
        <color theme="1"/>
        <sz val="10.0"/>
      </rPr>
      <t>44.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</si>
  <si>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ART-IM</t>
  </si>
  <si>
    <r>
      <rPr>
        <rFont val="Century Gothic"/>
        <color theme="1"/>
        <sz val="10.0"/>
      </rPr>
      <t>45.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</si>
  <si>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ART Enterprise</t>
  </si>
  <si>
    <r>
      <rPr>
        <rFont val="Century Gothic"/>
        <color theme="1"/>
        <sz val="10.0"/>
      </rPr>
      <t>46.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</si>
  <si>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Artemis</t>
  </si>
  <si>
    <r>
      <rPr>
        <rFont val="Century Gothic"/>
        <color theme="1"/>
        <sz val="10.0"/>
      </rPr>
      <t>47.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</si>
  <si>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AS/SET</t>
  </si>
  <si>
    <r>
      <rPr>
        <rFont val="Century Gothic"/>
        <color theme="1"/>
        <sz val="10.0"/>
      </rPr>
      <t>48.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</si>
  <si>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ASI/INQUIRY</t>
  </si>
  <si>
    <r>
      <rPr>
        <rFont val="Century Gothic"/>
        <color theme="1"/>
        <sz val="10.0"/>
      </rPr>
      <t>49.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</si>
  <si>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ASK Windows</t>
  </si>
  <si>
    <r>
      <rPr>
        <rFont val="Century Gothic"/>
        <color theme="1"/>
        <sz val="10.0"/>
      </rPr>
      <t>50.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</si>
  <si>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Assembly (Basic)</t>
  </si>
  <si>
    <r>
      <rPr>
        <rFont val="Century Gothic"/>
        <color theme="1"/>
        <sz val="10.0"/>
      </rPr>
      <t>51.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</si>
  <si>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Assembly (Macro)</t>
  </si>
  <si>
    <r>
      <rPr>
        <rFont val="Century Gothic"/>
        <color theme="1"/>
        <sz val="10.0"/>
      </rPr>
      <t>52.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</si>
  <si>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Associative default</t>
  </si>
  <si>
    <r>
      <rPr>
        <rFont val="Century Gothic"/>
        <color theme="1"/>
        <sz val="10.0"/>
      </rPr>
      <t>53.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</si>
  <si>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Autocoder</t>
  </si>
  <si>
    <r>
      <rPr>
        <rFont val="Century Gothic"/>
        <color theme="1"/>
        <sz val="10.0"/>
      </rPr>
      <t>54.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</si>
  <si>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awk</t>
  </si>
  <si>
    <r>
      <rPr>
        <rFont val="Century Gothic"/>
        <color theme="1"/>
        <sz val="10.0"/>
      </rPr>
      <t>55.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</si>
  <si>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Aztec C</t>
  </si>
  <si>
    <r>
      <rPr>
        <rFont val="Century Gothic"/>
        <color theme="1"/>
        <sz val="10.0"/>
      </rPr>
      <t>56.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</si>
  <si>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BALM</t>
  </si>
  <si>
    <r>
      <rPr>
        <rFont val="Century Gothic"/>
        <color theme="1"/>
        <sz val="10.0"/>
      </rPr>
      <t>57.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</si>
  <si>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BASE SAS</t>
  </si>
  <si>
    <r>
      <rPr>
        <rFont val="Century Gothic"/>
        <color theme="1"/>
        <sz val="10.0"/>
      </rPr>
      <t>58.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</si>
  <si>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BASIC</t>
  </si>
  <si>
    <r>
      <rPr>
        <rFont val="Century Gothic"/>
        <color theme="1"/>
        <sz val="10.0"/>
      </rPr>
      <t>59.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</si>
  <si>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BASIC A</t>
  </si>
  <si>
    <r>
      <rPr>
        <rFont val="Century Gothic"/>
        <color theme="1"/>
        <sz val="10.0"/>
      </rPr>
      <t>60.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</si>
  <si>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Basic assembly</t>
  </si>
  <si>
    <r>
      <rPr>
        <rFont val="Century Gothic"/>
        <color theme="1"/>
        <sz val="10.0"/>
      </rPr>
      <t>61.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</si>
  <si>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Berkeley PASCAL</t>
  </si>
  <si>
    <r>
      <rPr>
        <rFont val="Century Gothic"/>
        <color theme="1"/>
        <sz val="10.0"/>
      </rPr>
      <t>62.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</si>
  <si>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BETTER BASIC</t>
  </si>
  <si>
    <r>
      <rPr>
        <rFont val="Century Gothic"/>
        <color theme="1"/>
        <sz val="10.0"/>
      </rPr>
      <t>63.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</si>
  <si>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BLISS</t>
  </si>
  <si>
    <r>
      <rPr>
        <rFont val="Century Gothic"/>
        <color theme="1"/>
        <sz val="10.0"/>
      </rPr>
      <t>64.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</si>
  <si>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BMSGEN</t>
  </si>
  <si>
    <r>
      <rPr>
        <rFont val="Century Gothic"/>
        <color theme="1"/>
        <sz val="10.0"/>
      </rPr>
      <t>65.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</si>
  <si>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BOEINGCALC</t>
  </si>
  <si>
    <r>
      <rPr>
        <rFont val="Century Gothic"/>
        <color theme="1"/>
        <sz val="10.0"/>
      </rPr>
      <t>66.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</si>
  <si>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BTEQ</t>
  </si>
  <si>
    <r>
      <rPr>
        <rFont val="Century Gothic"/>
        <color theme="1"/>
        <sz val="10.0"/>
      </rPr>
      <t>67.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</si>
  <si>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</t>
  </si>
  <si>
    <r>
      <rPr>
        <rFont val="Century Gothic"/>
        <color theme="1"/>
        <sz val="10.0"/>
      </rPr>
      <t>68.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</si>
  <si>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 Set 2</t>
  </si>
  <si>
    <r>
      <rPr>
        <rFont val="Century Gothic"/>
        <color theme="1"/>
        <sz val="10.0"/>
      </rPr>
      <t>69.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</si>
  <si>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C++</t>
  </si>
  <si>
    <r>
      <rPr>
        <rFont val="Century Gothic"/>
        <color theme="1"/>
        <sz val="10.0"/>
      </rPr>
      <t>70.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</si>
  <si>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C86Plus</t>
  </si>
  <si>
    <r>
      <rPr>
        <rFont val="Century Gothic"/>
        <color theme="1"/>
        <sz val="10.0"/>
      </rPr>
      <t>71.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</si>
  <si>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CA-dBFast</t>
  </si>
  <si>
    <r>
      <rPr>
        <rFont val="Century Gothic"/>
        <color theme="1"/>
        <sz val="10.0"/>
      </rPr>
      <t>72.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</si>
  <si>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CA-EARL</t>
  </si>
  <si>
    <r>
      <rPr>
        <rFont val="Century Gothic"/>
        <color theme="1"/>
        <sz val="10.0"/>
      </rPr>
      <t>73.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</si>
  <si>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CAST</t>
  </si>
  <si>
    <r>
      <rPr>
        <rFont val="Century Gothic"/>
        <color theme="1"/>
        <sz val="10.0"/>
      </rPr>
      <t>74.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</si>
  <si>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CBASIC</t>
  </si>
  <si>
    <r>
      <rPr>
        <rFont val="Century Gothic"/>
        <color theme="1"/>
        <sz val="10.0"/>
      </rPr>
      <t>75.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</si>
  <si>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CDADL</t>
  </si>
  <si>
    <r>
      <rPr>
        <rFont val="Century Gothic"/>
        <color theme="1"/>
        <sz val="10.0"/>
      </rPr>
      <t>76.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</si>
  <si>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CELLSIM</t>
  </si>
  <si>
    <r>
      <rPr>
        <rFont val="Century Gothic"/>
        <color theme="1"/>
        <sz val="10.0"/>
      </rPr>
      <t>77.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</si>
  <si>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Centerline C++</t>
  </si>
  <si>
    <r>
      <rPr>
        <rFont val="Century Gothic"/>
        <color theme="1"/>
        <sz val="10.0"/>
      </rPr>
      <t>78.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</si>
  <si>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CHILI</t>
  </si>
  <si>
    <r>
      <rPr>
        <rFont val="Century Gothic"/>
        <color theme="1"/>
        <sz val="10.0"/>
      </rPr>
      <t>79.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</si>
  <si>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CHILL</t>
  </si>
  <si>
    <r>
      <rPr>
        <rFont val="Century Gothic"/>
        <color theme="1"/>
        <sz val="10.0"/>
      </rPr>
      <t>80.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</si>
  <si>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CICS</t>
  </si>
  <si>
    <r>
      <rPr>
        <rFont val="Century Gothic"/>
        <color theme="1"/>
        <sz val="10.0"/>
      </rPr>
      <t>81.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</si>
  <si>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CLARION</t>
  </si>
  <si>
    <r>
      <rPr>
        <rFont val="Century Gothic"/>
        <color theme="1"/>
        <sz val="10.0"/>
      </rPr>
      <t>82.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</si>
  <si>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CLASCAL</t>
  </si>
  <si>
    <r>
      <rPr>
        <rFont val="Century Gothic"/>
        <color theme="1"/>
        <sz val="10.0"/>
      </rPr>
      <t>83.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</si>
  <si>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CLI</t>
  </si>
  <si>
    <r>
      <rPr>
        <rFont val="Century Gothic"/>
        <color theme="1"/>
        <sz val="10.0"/>
      </rPr>
      <t>84.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</si>
  <si>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CLIPPER</t>
  </si>
  <si>
    <r>
      <rPr>
        <rFont val="Century Gothic"/>
        <color theme="1"/>
        <sz val="10.0"/>
      </rPr>
      <t>85.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</si>
  <si>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CLIPPER DB</t>
  </si>
  <si>
    <r>
      <rPr>
        <rFont val="Century Gothic"/>
        <color theme="1"/>
        <sz val="10.0"/>
      </rPr>
      <t>86.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</si>
  <si>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CLOS</t>
  </si>
  <si>
    <r>
      <rPr>
        <rFont val="Century Gothic"/>
        <color theme="1"/>
        <sz val="10.0"/>
      </rPr>
      <t>87.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</si>
  <si>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CLOUT</t>
  </si>
  <si>
    <r>
      <rPr>
        <rFont val="Century Gothic"/>
        <color theme="1"/>
        <sz val="10.0"/>
      </rPr>
      <t>88.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</si>
  <si>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CMS2</t>
  </si>
  <si>
    <r>
      <rPr>
        <rFont val="Century Gothic"/>
        <color theme="1"/>
        <sz val="10.0"/>
      </rPr>
      <t>89.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</si>
  <si>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CMSGEN</t>
  </si>
  <si>
    <r>
      <rPr>
        <rFont val="Century Gothic"/>
        <color theme="1"/>
        <sz val="10.0"/>
      </rPr>
      <t>90.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</si>
  <si>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COBOL</t>
  </si>
  <si>
    <r>
      <rPr>
        <rFont val="Century Gothic"/>
        <color theme="1"/>
        <sz val="10.0"/>
      </rPr>
      <t>91.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</si>
  <si>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COBOL II</t>
  </si>
  <si>
    <r>
      <rPr>
        <rFont val="Century Gothic"/>
        <color theme="1"/>
        <sz val="10.0"/>
      </rPr>
      <t>92.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</si>
  <si>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Cobol/400</t>
  </si>
  <si>
    <r>
      <rPr>
        <rFont val="Century Gothic"/>
        <color theme="1"/>
        <sz val="10.0"/>
      </rPr>
      <t>93.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</si>
  <si>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COBRA</t>
  </si>
  <si>
    <r>
      <rPr>
        <rFont val="Century Gothic"/>
        <color theme="1"/>
        <sz val="10.0"/>
      </rPr>
      <t>94.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</si>
  <si>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CodeCenter</t>
  </si>
  <si>
    <r>
      <rPr>
        <rFont val="Century Gothic"/>
        <color theme="1"/>
        <sz val="10.0"/>
      </rPr>
      <t>95.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</si>
  <si>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Cofac</t>
  </si>
  <si>
    <r>
      <rPr>
        <rFont val="Century Gothic"/>
        <color theme="1"/>
        <sz val="10.0"/>
      </rPr>
      <t>96.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</si>
  <si>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COGEN</t>
  </si>
  <si>
    <r>
      <rPr>
        <rFont val="Century Gothic"/>
        <color theme="1"/>
        <sz val="10.0"/>
      </rPr>
      <t>97.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</si>
  <si>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COGNOS</t>
  </si>
  <si>
    <r>
      <rPr>
        <rFont val="Century Gothic"/>
        <color theme="1"/>
        <sz val="10.0"/>
      </rPr>
      <t>98.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</si>
  <si>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COGO</t>
  </si>
  <si>
    <r>
      <rPr>
        <rFont val="Century Gothic"/>
        <color theme="1"/>
        <sz val="10.0"/>
      </rPr>
      <t>99.</t>
    </r>
    <r>
      <rPr>
        <rFont val="Century Gothic"/>
        <color theme="1"/>
        <sz val="7.0"/>
      </rPr>
      <t xml:space="preserve">    </t>
    </r>
    <r>
      <rPr>
        <rFont val="Century Gothic"/>
        <color theme="1"/>
        <sz val="10.0"/>
      </rPr>
      <t> </t>
    </r>
  </si>
  <si>
    <t>COMAL</t>
  </si>
  <si>
    <t>100. </t>
  </si>
  <si>
    <t>COMIT II</t>
  </si>
  <si>
    <t>101. </t>
  </si>
  <si>
    <t>Common LISP</t>
  </si>
  <si>
    <t>102. </t>
  </si>
  <si>
    <t>Concurrent PASCAL</t>
  </si>
  <si>
    <t>103. </t>
  </si>
  <si>
    <t>CONNIVER</t>
  </si>
  <si>
    <t>104. </t>
  </si>
  <si>
    <t>CORAL 66</t>
  </si>
  <si>
    <t>105. </t>
  </si>
  <si>
    <t>CORVET</t>
  </si>
  <si>
    <t>106. </t>
  </si>
  <si>
    <t>CorVision</t>
  </si>
  <si>
    <t>107. </t>
  </si>
  <si>
    <t>CPL</t>
  </si>
  <si>
    <t>108. </t>
  </si>
  <si>
    <t>Crystal Reports</t>
  </si>
  <si>
    <t>109. </t>
  </si>
  <si>
    <t>CSL</t>
  </si>
  <si>
    <t>110. </t>
  </si>
  <si>
    <t>CSP</t>
  </si>
  <si>
    <t>111. </t>
  </si>
  <si>
    <t>CSSL</t>
  </si>
  <si>
    <t>112. </t>
  </si>
  <si>
    <t>CULPRIT</t>
  </si>
  <si>
    <t>113. </t>
  </si>
  <si>
    <t>CxPERT</t>
  </si>
  <si>
    <t>114. </t>
  </si>
  <si>
    <t>CYGNET</t>
  </si>
  <si>
    <t>115. </t>
  </si>
  <si>
    <t>Data base default</t>
  </si>
  <si>
    <t>116. </t>
  </si>
  <si>
    <t>Dataflex</t>
  </si>
  <si>
    <t>117. </t>
  </si>
  <si>
    <t>Datatrieve</t>
  </si>
  <si>
    <t>118. </t>
  </si>
  <si>
    <t>dBase III</t>
  </si>
  <si>
    <t>119. </t>
  </si>
  <si>
    <t>dBase IV</t>
  </si>
  <si>
    <t>120. </t>
  </si>
  <si>
    <t>DCL</t>
  </si>
  <si>
    <t>121. </t>
  </si>
  <si>
    <t>DEC-RALLY</t>
  </si>
  <si>
    <t>122. </t>
  </si>
  <si>
    <t>Decision support default</t>
  </si>
  <si>
    <t>123. </t>
  </si>
  <si>
    <t>DELPHI</t>
  </si>
  <si>
    <t>124. </t>
  </si>
  <si>
    <t>DL/1</t>
  </si>
  <si>
    <t>125. </t>
  </si>
  <si>
    <t>DNA-4</t>
  </si>
  <si>
    <t>126. </t>
  </si>
  <si>
    <t>DOS Batch Files</t>
  </si>
  <si>
    <t>127. </t>
  </si>
  <si>
    <t>DSP Assembly</t>
  </si>
  <si>
    <t>128. </t>
  </si>
  <si>
    <t>DTABL</t>
  </si>
  <si>
    <t>129. </t>
  </si>
  <si>
    <t>DTIPT</t>
  </si>
  <si>
    <t>130. </t>
  </si>
  <si>
    <t>DYANA</t>
  </si>
  <si>
    <t>131. </t>
  </si>
  <si>
    <t>DYNAMO-III</t>
  </si>
  <si>
    <t>132. </t>
  </si>
  <si>
    <t>EASEL</t>
  </si>
  <si>
    <t>133. </t>
  </si>
  <si>
    <t>EASY</t>
  </si>
  <si>
    <t>134. </t>
  </si>
  <si>
    <t>EASYTRIEVE +</t>
  </si>
  <si>
    <t>135. </t>
  </si>
  <si>
    <t>Eclipse</t>
  </si>
  <si>
    <t>136. </t>
  </si>
  <si>
    <t>ED-Scheme 3.4</t>
  </si>
  <si>
    <t>137. </t>
  </si>
  <si>
    <t>EDA/SQL</t>
  </si>
  <si>
    <t>138. </t>
  </si>
  <si>
    <t>EIFFEL</t>
  </si>
  <si>
    <t>139. </t>
  </si>
  <si>
    <t>ENFORM</t>
  </si>
  <si>
    <t>140. </t>
  </si>
  <si>
    <t>English-based default</t>
  </si>
  <si>
    <t>141. </t>
  </si>
  <si>
    <t>Ensemble</t>
  </si>
  <si>
    <t>142. </t>
  </si>
  <si>
    <t>EPOS</t>
  </si>
  <si>
    <t>143. </t>
  </si>
  <si>
    <t>Erlang</t>
  </si>
  <si>
    <t>144. </t>
  </si>
  <si>
    <t>ESF</t>
  </si>
  <si>
    <t>145. </t>
  </si>
  <si>
    <t>ESPADVISOR</t>
  </si>
  <si>
    <t>146. </t>
  </si>
  <si>
    <t>ESPL/I</t>
  </si>
  <si>
    <t>147. </t>
  </si>
  <si>
    <t>EUCLID</t>
  </si>
  <si>
    <t>148. </t>
  </si>
  <si>
    <t>EXCEL 1-2</t>
  </si>
  <si>
    <t>149. </t>
  </si>
  <si>
    <t>EXCEL 3-4</t>
  </si>
  <si>
    <t>150. </t>
  </si>
  <si>
    <t>EXCEL 5</t>
  </si>
  <si>
    <t>151. </t>
  </si>
  <si>
    <t>EXPRESS</t>
  </si>
  <si>
    <t>152. </t>
  </si>
  <si>
    <t>EXSYS</t>
  </si>
  <si>
    <t>153. </t>
  </si>
  <si>
    <t>Extended Common LISP</t>
  </si>
  <si>
    <t>154. </t>
  </si>
  <si>
    <t>EZNOMAD</t>
  </si>
  <si>
    <t>155. </t>
  </si>
  <si>
    <t>Facets</t>
  </si>
  <si>
    <t>156. </t>
  </si>
  <si>
    <t>FactoryLink IV</t>
  </si>
  <si>
    <t>157. </t>
  </si>
  <si>
    <t>FAME</t>
  </si>
  <si>
    <t>158. </t>
  </si>
  <si>
    <t>FileMaker Pro</t>
  </si>
  <si>
    <t>159. </t>
  </si>
  <si>
    <t>FLAVORS</t>
  </si>
  <si>
    <t>160. </t>
  </si>
  <si>
    <t>FLEX</t>
  </si>
  <si>
    <t>161. </t>
  </si>
  <si>
    <t>FlexGen</t>
  </si>
  <si>
    <t>162. </t>
  </si>
  <si>
    <t>FOCUS</t>
  </si>
  <si>
    <t>163. </t>
  </si>
  <si>
    <t>FOIL</t>
  </si>
  <si>
    <t>164. </t>
  </si>
  <si>
    <t>Forte</t>
  </si>
  <si>
    <t>165. </t>
  </si>
  <si>
    <t>FORTH</t>
  </si>
  <si>
    <t>166. </t>
  </si>
  <si>
    <t>FORTRAN 66</t>
  </si>
  <si>
    <t>167. </t>
  </si>
  <si>
    <t>FORTRAN 77</t>
  </si>
  <si>
    <t>168. </t>
  </si>
  <si>
    <t>FORTRAN 90</t>
  </si>
  <si>
    <t>169. </t>
  </si>
  <si>
    <t>FORTRAN 95</t>
  </si>
  <si>
    <t>170. </t>
  </si>
  <si>
    <t>FORTRAN</t>
  </si>
  <si>
    <t>171. </t>
  </si>
  <si>
    <t>FORTRAN II</t>
  </si>
  <si>
    <t>172. </t>
  </si>
  <si>
    <t>Foundation</t>
  </si>
  <si>
    <t>173. </t>
  </si>
  <si>
    <t>FOXPRO 1</t>
  </si>
  <si>
    <t>174. </t>
  </si>
  <si>
    <t>FOXPRO 2.5</t>
  </si>
  <si>
    <t>175. </t>
  </si>
  <si>
    <t>FRAMEWORK</t>
  </si>
  <si>
    <t>176. </t>
  </si>
  <si>
    <t>G2</t>
  </si>
  <si>
    <t>177. </t>
  </si>
  <si>
    <t>GAMMA</t>
  </si>
  <si>
    <t>178. </t>
  </si>
  <si>
    <t>Genascript</t>
  </si>
  <si>
    <t>179. </t>
  </si>
  <si>
    <t>GENER/OL</t>
  </si>
  <si>
    <t>180. </t>
  </si>
  <si>
    <t>GENEXUS</t>
  </si>
  <si>
    <t>181. </t>
  </si>
  <si>
    <t>GENIFER</t>
  </si>
  <si>
    <t>182. </t>
  </si>
  <si>
    <t>GeODE 2.0</t>
  </si>
  <si>
    <t>183. </t>
  </si>
  <si>
    <t>GFA Basic</t>
  </si>
  <si>
    <t>184. </t>
  </si>
  <si>
    <t>GML</t>
  </si>
  <si>
    <t>185. </t>
  </si>
  <si>
    <t>Golden Common LISP</t>
  </si>
  <si>
    <t>186. </t>
  </si>
  <si>
    <t>GPSS</t>
  </si>
  <si>
    <t>187. </t>
  </si>
  <si>
    <t>GUEST</t>
  </si>
  <si>
    <t>188. </t>
  </si>
  <si>
    <t>Guru</t>
  </si>
  <si>
    <t>189. </t>
  </si>
  <si>
    <t>GW BASIC</t>
  </si>
  <si>
    <t>190. </t>
  </si>
  <si>
    <t>Haskell</t>
  </si>
  <si>
    <t>191. </t>
  </si>
  <si>
    <t>High C</t>
  </si>
  <si>
    <t>192. </t>
  </si>
  <si>
    <t>HLEVEL</t>
  </si>
  <si>
    <t>193. </t>
  </si>
  <si>
    <t>HP BASIC</t>
  </si>
  <si>
    <t>194. </t>
  </si>
  <si>
    <t>HTML 2.0</t>
  </si>
  <si>
    <t>195. </t>
  </si>
  <si>
    <t>HTML 3.0</t>
  </si>
  <si>
    <t>196. </t>
  </si>
  <si>
    <t>Huron</t>
  </si>
  <si>
    <t>197. </t>
  </si>
  <si>
    <t>IBM ADF I</t>
  </si>
  <si>
    <t>198. </t>
  </si>
  <si>
    <t>IBM ADF II</t>
  </si>
  <si>
    <t>199. </t>
  </si>
  <si>
    <t>IBM Advanced BASIC</t>
  </si>
  <si>
    <t>200. </t>
  </si>
  <si>
    <t>IBM CICS/VS</t>
  </si>
  <si>
    <t>201. </t>
  </si>
  <si>
    <t>IBM Compiled BASIC</t>
  </si>
  <si>
    <t>202. </t>
  </si>
  <si>
    <t>IBM VS COBOL</t>
  </si>
  <si>
    <t>203. </t>
  </si>
  <si>
    <t>IBM VS COBOL II</t>
  </si>
  <si>
    <t>204. </t>
  </si>
  <si>
    <t>ICES</t>
  </si>
  <si>
    <t>205. </t>
  </si>
  <si>
    <t>ICON</t>
  </si>
  <si>
    <t>206. </t>
  </si>
  <si>
    <t>IDMS</t>
  </si>
  <si>
    <t>207. </t>
  </si>
  <si>
    <t>IEF</t>
  </si>
  <si>
    <t>208. </t>
  </si>
  <si>
    <t>IEW</t>
  </si>
  <si>
    <t>209. </t>
  </si>
  <si>
    <t>IFPS/PLUS</t>
  </si>
  <si>
    <t>210. </t>
  </si>
  <si>
    <t>IMPRS</t>
  </si>
  <si>
    <t>211. </t>
  </si>
  <si>
    <t>INFORMIX</t>
  </si>
  <si>
    <t>212. </t>
  </si>
  <si>
    <t>INGRES</t>
  </si>
  <si>
    <t>213. </t>
  </si>
  <si>
    <t>INQUIRE</t>
  </si>
  <si>
    <t>214. </t>
  </si>
  <si>
    <t>INSIGHT2</t>
  </si>
  <si>
    <t>215. </t>
  </si>
  <si>
    <t>INSTALL/1</t>
  </si>
  <si>
    <t>216. </t>
  </si>
  <si>
    <t>INTELLECT</t>
  </si>
  <si>
    <t>217. </t>
  </si>
  <si>
    <t>INTERLISP</t>
  </si>
  <si>
    <t>218. </t>
  </si>
  <si>
    <t>Interpreted BASIC</t>
  </si>
  <si>
    <t>219. </t>
  </si>
  <si>
    <t>Interpreted C</t>
  </si>
  <si>
    <t>220. </t>
  </si>
  <si>
    <t>IQLISP</t>
  </si>
  <si>
    <t>221. </t>
  </si>
  <si>
    <t>IQRP</t>
  </si>
  <si>
    <t>222. </t>
  </si>
  <si>
    <t>JANUS</t>
  </si>
  <si>
    <t>223. </t>
  </si>
  <si>
    <t>JAVA</t>
  </si>
  <si>
    <t>224. </t>
  </si>
  <si>
    <t>JCL</t>
  </si>
  <si>
    <t>225. </t>
  </si>
  <si>
    <t>JOSS</t>
  </si>
  <si>
    <t>226. </t>
  </si>
  <si>
    <t>JOVIAL</t>
  </si>
  <si>
    <t>227. </t>
  </si>
  <si>
    <t>KAPPA</t>
  </si>
  <si>
    <t>228. </t>
  </si>
  <si>
    <t>KBMS</t>
  </si>
  <si>
    <t>229. </t>
  </si>
  <si>
    <t>KCL</t>
  </si>
  <si>
    <t>230. </t>
  </si>
  <si>
    <t>KEE</t>
  </si>
  <si>
    <t>231. </t>
  </si>
  <si>
    <t>Keyplus</t>
  </si>
  <si>
    <t>232. </t>
  </si>
  <si>
    <t>KL</t>
  </si>
  <si>
    <t>233. </t>
  </si>
  <si>
    <t>KLO</t>
  </si>
  <si>
    <t>234. </t>
  </si>
  <si>
    <t>KNOWOL</t>
  </si>
  <si>
    <t>235. </t>
  </si>
  <si>
    <t>KRL</t>
  </si>
  <si>
    <t>236. </t>
  </si>
  <si>
    <t>KSH</t>
  </si>
  <si>
    <t>237. </t>
  </si>
  <si>
    <t>Ladder Logic</t>
  </si>
  <si>
    <t>238. </t>
  </si>
  <si>
    <t>LAMBIT/L</t>
  </si>
  <si>
    <t>239. </t>
  </si>
  <si>
    <t>Lattice C</t>
  </si>
  <si>
    <t>240. </t>
  </si>
  <si>
    <t>Liana</t>
  </si>
  <si>
    <t>241. </t>
  </si>
  <si>
    <t>LILITH</t>
  </si>
  <si>
    <t>242. </t>
  </si>
  <si>
    <t>LINC II</t>
  </si>
  <si>
    <t>243. </t>
  </si>
  <si>
    <t>LISP</t>
  </si>
  <si>
    <t>244. </t>
  </si>
  <si>
    <t>LOGLISP</t>
  </si>
  <si>
    <t>245. </t>
  </si>
  <si>
    <t>LOOPS</t>
  </si>
  <si>
    <t>246. </t>
  </si>
  <si>
    <t>LOTUS 123 DOS</t>
  </si>
  <si>
    <t>247. </t>
  </si>
  <si>
    <t>LOTUS Macros</t>
  </si>
  <si>
    <t>248. </t>
  </si>
  <si>
    <t>LUCID 3D</t>
  </si>
  <si>
    <t>249. </t>
  </si>
  <si>
    <t>LYRIC</t>
  </si>
  <si>
    <t>250. </t>
  </si>
  <si>
    <t>M</t>
  </si>
  <si>
    <t>251. </t>
  </si>
  <si>
    <t>macFORTH</t>
  </si>
  <si>
    <t>252. </t>
  </si>
  <si>
    <t>MACH1</t>
  </si>
  <si>
    <t>253. </t>
  </si>
  <si>
    <t>Machine language</t>
  </si>
  <si>
    <t>254. </t>
  </si>
  <si>
    <t>Macro assembly</t>
  </si>
  <si>
    <t>255. </t>
  </si>
  <si>
    <t>MAESTRO</t>
  </si>
  <si>
    <t>256. </t>
  </si>
  <si>
    <t>MAGEC</t>
  </si>
  <si>
    <t>257. </t>
  </si>
  <si>
    <t>MAGIK</t>
  </si>
  <si>
    <t>258. </t>
  </si>
  <si>
    <t>MAKE</t>
  </si>
  <si>
    <t>259. </t>
  </si>
  <si>
    <t>MANTIS</t>
  </si>
  <si>
    <t>260. </t>
  </si>
  <si>
    <t>MAPPER</t>
  </si>
  <si>
    <t>261. </t>
  </si>
  <si>
    <t>MARK IV</t>
  </si>
  <si>
    <t>262. </t>
  </si>
  <si>
    <t>MARK V</t>
  </si>
  <si>
    <t>263. </t>
  </si>
  <si>
    <t>MATHCAD</t>
  </si>
  <si>
    <t>264. </t>
  </si>
  <si>
    <t>MDL</t>
  </si>
  <si>
    <t>265. </t>
  </si>
  <si>
    <t>MENTOR</t>
  </si>
  <si>
    <t>266. </t>
  </si>
  <si>
    <t>MESA</t>
  </si>
  <si>
    <t>267. </t>
  </si>
  <si>
    <t>Microfocus COBOL</t>
  </si>
  <si>
    <t>268. </t>
  </si>
  <si>
    <t>microFORTH</t>
  </si>
  <si>
    <t>269. </t>
  </si>
  <si>
    <t>Microsoft C</t>
  </si>
  <si>
    <t>270. </t>
  </si>
  <si>
    <t>MicroStep</t>
  </si>
  <si>
    <t>271. </t>
  </si>
  <si>
    <t>Miranda</t>
  </si>
  <si>
    <t>272. </t>
  </si>
  <si>
    <t>Model 204</t>
  </si>
  <si>
    <t>273. </t>
  </si>
  <si>
    <t>MODULA 2</t>
  </si>
  <si>
    <t>274. </t>
  </si>
  <si>
    <t>MOSAIC</t>
  </si>
  <si>
    <t>275. </t>
  </si>
  <si>
    <t>MS C ++ V. 7</t>
  </si>
  <si>
    <t>276. </t>
  </si>
  <si>
    <t>MS Compiled BASIC</t>
  </si>
  <si>
    <t>277. </t>
  </si>
  <si>
    <t>MSL</t>
  </si>
  <si>
    <t>278. </t>
  </si>
  <si>
    <t>muLISP</t>
  </si>
  <si>
    <t>279. </t>
  </si>
  <si>
    <t>MUMPS</t>
  </si>
  <si>
    <t>280. </t>
  </si>
  <si>
    <t>NASTRAN</t>
  </si>
  <si>
    <t>281. </t>
  </si>
  <si>
    <t>NATURAL 1</t>
  </si>
  <si>
    <t>282. </t>
  </si>
  <si>
    <t>NATURAL 2</t>
  </si>
  <si>
    <t>283. </t>
  </si>
  <si>
    <t>NATURAL Construct</t>
  </si>
  <si>
    <t>284. </t>
  </si>
  <si>
    <t>Natural language</t>
  </si>
  <si>
    <t>285. </t>
  </si>
  <si>
    <t>NETRON/CAP</t>
  </si>
  <si>
    <t>286. </t>
  </si>
  <si>
    <t>NEXPERT</t>
  </si>
  <si>
    <t>287. </t>
  </si>
  <si>
    <t>NIAL</t>
  </si>
  <si>
    <t>288. </t>
  </si>
  <si>
    <t>NOMAD2</t>
  </si>
  <si>
    <t>289. </t>
  </si>
  <si>
    <t>Non-procedural default</t>
  </si>
  <si>
    <t>290. </t>
  </si>
  <si>
    <t>Notes VIP</t>
  </si>
  <si>
    <t>291. </t>
  </si>
  <si>
    <t>Nroff</t>
  </si>
  <si>
    <t>292. </t>
  </si>
  <si>
    <t>Object-Oriented default</t>
  </si>
  <si>
    <t>293. </t>
  </si>
  <si>
    <t>OBJECT Assembler</t>
  </si>
  <si>
    <t>294. </t>
  </si>
  <si>
    <t>Object LISP</t>
  </si>
  <si>
    <t>295. </t>
  </si>
  <si>
    <t>Object LOGO</t>
  </si>
  <si>
    <t>296. </t>
  </si>
  <si>
    <t>Object PASCAL</t>
  </si>
  <si>
    <t>297. </t>
  </si>
  <si>
    <t>Object Star</t>
  </si>
  <si>
    <t>298. </t>
  </si>
  <si>
    <t>Objective-C</t>
  </si>
  <si>
    <t>299. </t>
  </si>
  <si>
    <t>ObjectVIEW</t>
  </si>
  <si>
    <t>300. </t>
  </si>
  <si>
    <t>OGL</t>
  </si>
  <si>
    <t>301. </t>
  </si>
  <si>
    <t>OMNIS 7</t>
  </si>
  <si>
    <t>302. </t>
  </si>
  <si>
    <t>OODL</t>
  </si>
  <si>
    <t>303. </t>
  </si>
  <si>
    <t>OPS</t>
  </si>
  <si>
    <t>304. </t>
  </si>
  <si>
    <t>OPS5</t>
  </si>
  <si>
    <t>305. </t>
  </si>
  <si>
    <t>ORACLE</t>
  </si>
  <si>
    <t>306. </t>
  </si>
  <si>
    <t>Oracle Developer/2000</t>
  </si>
  <si>
    <t>307. </t>
  </si>
  <si>
    <t>Oscar</t>
  </si>
  <si>
    <t>308. </t>
  </si>
  <si>
    <t>PACBASE</t>
  </si>
  <si>
    <t>309. </t>
  </si>
  <si>
    <t>PACE</t>
  </si>
  <si>
    <t>310. </t>
  </si>
  <si>
    <t>PARADOX/PAL</t>
  </si>
  <si>
    <t>311. </t>
  </si>
  <si>
    <t>PASCAL</t>
  </si>
  <si>
    <t>312. </t>
  </si>
  <si>
    <t>PC FOCUS</t>
  </si>
  <si>
    <t>313. </t>
  </si>
  <si>
    <t>PDL Millenium</t>
  </si>
  <si>
    <t>314. </t>
  </si>
  <si>
    <t>PDP-11 ADE</t>
  </si>
  <si>
    <t>315. </t>
  </si>
  <si>
    <t>PERL</t>
  </si>
  <si>
    <t>316. </t>
  </si>
  <si>
    <t>Persistance Object Builder</t>
  </si>
  <si>
    <t>317. </t>
  </si>
  <si>
    <t>PILOT</t>
  </si>
  <si>
    <t>318. </t>
  </si>
  <si>
    <t>PL/I</t>
  </si>
  <si>
    <t>319. </t>
  </si>
  <si>
    <t>PL/M</t>
  </si>
  <si>
    <t>320. </t>
  </si>
  <si>
    <t>PL/S</t>
  </si>
  <si>
    <t>321. </t>
  </si>
  <si>
    <t>PLANIT</t>
  </si>
  <si>
    <t>322. </t>
  </si>
  <si>
    <t>PLANNER</t>
  </si>
  <si>
    <t>323. </t>
  </si>
  <si>
    <t>PLANPERFECT 1</t>
  </si>
  <si>
    <t>324. </t>
  </si>
  <si>
    <t>PLATO</t>
  </si>
  <si>
    <t>325. </t>
  </si>
  <si>
    <t>polyFORTH</t>
  </si>
  <si>
    <t>326. </t>
  </si>
  <si>
    <t>POP</t>
  </si>
  <si>
    <t>327. </t>
  </si>
  <si>
    <t>POPLOG</t>
  </si>
  <si>
    <t>328. </t>
  </si>
  <si>
    <t>Power BASIC</t>
  </si>
  <si>
    <t>329. </t>
  </si>
  <si>
    <t>PowerBuilder</t>
  </si>
  <si>
    <t>330. </t>
  </si>
  <si>
    <t>POWERHOUSE</t>
  </si>
  <si>
    <t>331. </t>
  </si>
  <si>
    <t>PPL (Plus)</t>
  </si>
  <si>
    <t>332. </t>
  </si>
  <si>
    <t>Pro-C</t>
  </si>
  <si>
    <t>333. </t>
  </si>
  <si>
    <t>PRO-IV</t>
  </si>
  <si>
    <t>334. </t>
  </si>
  <si>
    <t>Problem-oriented default</t>
  </si>
  <si>
    <t>335. </t>
  </si>
  <si>
    <t>Procedural default</t>
  </si>
  <si>
    <t>336. </t>
  </si>
  <si>
    <t>Professional PASCAL</t>
  </si>
  <si>
    <t>337. </t>
  </si>
  <si>
    <t>Program Generator default</t>
  </si>
  <si>
    <t>338. </t>
  </si>
  <si>
    <t>PROGRESS V4</t>
  </si>
  <si>
    <t>339. </t>
  </si>
  <si>
    <t>PROLOG</t>
  </si>
  <si>
    <t>340. </t>
  </si>
  <si>
    <t>PROSE</t>
  </si>
  <si>
    <t>341. </t>
  </si>
  <si>
    <t>PROTEUS</t>
  </si>
  <si>
    <t>342. </t>
  </si>
  <si>
    <t>QBasic</t>
  </si>
  <si>
    <t>343. </t>
  </si>
  <si>
    <t>QBE</t>
  </si>
  <si>
    <t>344. </t>
  </si>
  <si>
    <t>QMF</t>
  </si>
  <si>
    <t>345. </t>
  </si>
  <si>
    <t>QNIAL</t>
  </si>
  <si>
    <t>346. </t>
  </si>
  <si>
    <t>QUATTRO</t>
  </si>
  <si>
    <t>347. </t>
  </si>
  <si>
    <t>QUATTRO PRO</t>
  </si>
  <si>
    <t>348. </t>
  </si>
  <si>
    <t>Query default</t>
  </si>
  <si>
    <t>349. </t>
  </si>
  <si>
    <t>QUICK BASIC 1</t>
  </si>
  <si>
    <t>350. </t>
  </si>
  <si>
    <t>QUICK BASIC 2</t>
  </si>
  <si>
    <t>351. </t>
  </si>
  <si>
    <t>QUICK BASIC 3</t>
  </si>
  <si>
    <t>352. </t>
  </si>
  <si>
    <t>Quick C</t>
  </si>
  <si>
    <t>353. </t>
  </si>
  <si>
    <t>Quickbuild</t>
  </si>
  <si>
    <t>354. </t>
  </si>
  <si>
    <t>QUIZ</t>
  </si>
  <si>
    <t>355. </t>
  </si>
  <si>
    <t>RALLY</t>
  </si>
  <si>
    <t>356. </t>
  </si>
  <si>
    <t>RAMIS II</t>
  </si>
  <si>
    <t>357. </t>
  </si>
  <si>
    <t>RapidGen</t>
  </si>
  <si>
    <t>358. </t>
  </si>
  <si>
    <t>RATFOR</t>
  </si>
  <si>
    <t>359. </t>
  </si>
  <si>
    <t>RDB</t>
  </si>
  <si>
    <t>360. </t>
  </si>
  <si>
    <t>REALIA</t>
  </si>
  <si>
    <t>361. </t>
  </si>
  <si>
    <t>Realizer 1.0</t>
  </si>
  <si>
    <t>362. </t>
  </si>
  <si>
    <t>Realizer 2.0</t>
  </si>
  <si>
    <t>363. </t>
  </si>
  <si>
    <t>RELATE/3000</t>
  </si>
  <si>
    <t>364. </t>
  </si>
  <si>
    <t>Reuse default</t>
  </si>
  <si>
    <t>365. </t>
  </si>
  <si>
    <t>REXX (MVS)</t>
  </si>
  <si>
    <t>366. </t>
  </si>
  <si>
    <t>REXX (OS/2)</t>
  </si>
  <si>
    <t>367. </t>
  </si>
  <si>
    <t>RM BASIC</t>
  </si>
  <si>
    <t>368. </t>
  </si>
  <si>
    <t>RM COBOL</t>
  </si>
  <si>
    <t>369. </t>
  </si>
  <si>
    <t>RM FORTRAN</t>
  </si>
  <si>
    <t>370. </t>
  </si>
  <si>
    <t>RPG I</t>
  </si>
  <si>
    <t>371. </t>
  </si>
  <si>
    <t>RPG II</t>
  </si>
  <si>
    <t>372. </t>
  </si>
  <si>
    <t>RPG III</t>
  </si>
  <si>
    <t>373. </t>
  </si>
  <si>
    <t>RT-Expert 1.4</t>
  </si>
  <si>
    <t>374. </t>
  </si>
  <si>
    <t>S-PLUS</t>
  </si>
  <si>
    <t>375. </t>
  </si>
  <si>
    <t>SAIL</t>
  </si>
  <si>
    <t>376. </t>
  </si>
  <si>
    <t>SAPIENS</t>
  </si>
  <si>
    <t>377. </t>
  </si>
  <si>
    <t>SAS</t>
  </si>
  <si>
    <t>378. </t>
  </si>
  <si>
    <t>SAVVY</t>
  </si>
  <si>
    <t>379. </t>
  </si>
  <si>
    <t>SBASIC</t>
  </si>
  <si>
    <t>380. </t>
  </si>
  <si>
    <t>SCEPTRE</t>
  </si>
  <si>
    <t>381. </t>
  </si>
  <si>
    <t>SCHEME</t>
  </si>
  <si>
    <t>382. </t>
  </si>
  <si>
    <t>Screen painter default</t>
  </si>
  <si>
    <t>383. </t>
  </si>
  <si>
    <t>SEQUAL</t>
  </si>
  <si>
    <t>384. </t>
  </si>
  <si>
    <t>SHELL</t>
  </si>
  <si>
    <t>385. </t>
  </si>
  <si>
    <t>SIMPLAN</t>
  </si>
  <si>
    <t>386. </t>
  </si>
  <si>
    <t>SIMSCRIPT</t>
  </si>
  <si>
    <t>387. </t>
  </si>
  <si>
    <t>SIMULA</t>
  </si>
  <si>
    <t>388. </t>
  </si>
  <si>
    <t>SIMULA 67</t>
  </si>
  <si>
    <t>389. </t>
  </si>
  <si>
    <t>Simulation default</t>
  </si>
  <si>
    <t>390. </t>
  </si>
  <si>
    <t>SMALLTALK 286</t>
  </si>
  <si>
    <t>391. </t>
  </si>
  <si>
    <t>SMALLTALK 80</t>
  </si>
  <si>
    <t>392. </t>
  </si>
  <si>
    <t>SMALLTALK/V</t>
  </si>
  <si>
    <t>393. </t>
  </si>
  <si>
    <t>SNAP</t>
  </si>
  <si>
    <t>394. </t>
  </si>
  <si>
    <t>SNOBOL2-4</t>
  </si>
  <si>
    <t>395. </t>
  </si>
  <si>
    <t>SoftScreen</t>
  </si>
  <si>
    <t>396. </t>
  </si>
  <si>
    <t>SOLO</t>
  </si>
  <si>
    <t>397. </t>
  </si>
  <si>
    <t>SPEAKEASY</t>
  </si>
  <si>
    <t>398. </t>
  </si>
  <si>
    <t>Spinnaker PPL</t>
  </si>
  <si>
    <t>399. </t>
  </si>
  <si>
    <t>Spreadsheet default</t>
  </si>
  <si>
    <t>400. </t>
  </si>
  <si>
    <t>SPS</t>
  </si>
  <si>
    <t>401. </t>
  </si>
  <si>
    <t>SPSS</t>
  </si>
  <si>
    <t>402. </t>
  </si>
  <si>
    <t>SQL</t>
  </si>
  <si>
    <t>403. </t>
  </si>
  <si>
    <t>SQL-Windows</t>
  </si>
  <si>
    <t>404. </t>
  </si>
  <si>
    <t>Statistical default</t>
  </si>
  <si>
    <t>405. </t>
  </si>
  <si>
    <t>STRATEGEM</t>
  </si>
  <si>
    <t>406. </t>
  </si>
  <si>
    <t>STRESS</t>
  </si>
  <si>
    <t>407. </t>
  </si>
  <si>
    <t>Strongly typed default</t>
  </si>
  <si>
    <t>408. </t>
  </si>
  <si>
    <t>STYLE</t>
  </si>
  <si>
    <t>409. </t>
  </si>
  <si>
    <t>SUPERBASE 1.3</t>
  </si>
  <si>
    <t>410. </t>
  </si>
  <si>
    <t>SURPASS</t>
  </si>
  <si>
    <t>411. </t>
  </si>
  <si>
    <t>SYBASE</t>
  </si>
  <si>
    <t>412. </t>
  </si>
  <si>
    <t>Symantec C++</t>
  </si>
  <si>
    <t>413. </t>
  </si>
  <si>
    <t>SYMBOLANG</t>
  </si>
  <si>
    <t>414. </t>
  </si>
  <si>
    <t>Synchroworks</t>
  </si>
  <si>
    <t>415. </t>
  </si>
  <si>
    <t>SYNON/2E</t>
  </si>
  <si>
    <t>416. </t>
  </si>
  <si>
    <t>System-W</t>
  </si>
  <si>
    <t>417. </t>
  </si>
  <si>
    <t>Tandem Access Language</t>
  </si>
  <si>
    <t>418. </t>
  </si>
  <si>
    <t>TCL</t>
  </si>
  <si>
    <t>419. </t>
  </si>
  <si>
    <t>TELON</t>
  </si>
  <si>
    <t>420. </t>
  </si>
  <si>
    <t>TESSARACT</t>
  </si>
  <si>
    <t>421. </t>
  </si>
  <si>
    <t>THE TWIN</t>
  </si>
  <si>
    <t>422. </t>
  </si>
  <si>
    <t>THEMIS</t>
  </si>
  <si>
    <t>423. </t>
  </si>
  <si>
    <t>TI-IEF</t>
  </si>
  <si>
    <t>424. </t>
  </si>
  <si>
    <t>Topspeed C ++</t>
  </si>
  <si>
    <t>425. </t>
  </si>
  <si>
    <t>TRANSFORM</t>
  </si>
  <si>
    <t>426. </t>
  </si>
  <si>
    <t>TRANSLISP PLUS</t>
  </si>
  <si>
    <t>427. </t>
  </si>
  <si>
    <t>TREET</t>
  </si>
  <si>
    <t>428. </t>
  </si>
  <si>
    <t>TREETRAN</t>
  </si>
  <si>
    <t>429. </t>
  </si>
  <si>
    <t>TRS80 BASIC II,III</t>
  </si>
  <si>
    <t>430. </t>
  </si>
  <si>
    <t>TRUE BASIC</t>
  </si>
  <si>
    <t>431. </t>
  </si>
  <si>
    <t>Turbo C</t>
  </si>
  <si>
    <t>432. </t>
  </si>
  <si>
    <t>TURBO C++</t>
  </si>
  <si>
    <t>433. </t>
  </si>
  <si>
    <t>TURBO EXPERT</t>
  </si>
  <si>
    <t>434. </t>
  </si>
  <si>
    <t>Turbo PASCAL &gt;5</t>
  </si>
  <si>
    <t>435. </t>
  </si>
  <si>
    <t>Turbo PASCAL 1-4</t>
  </si>
  <si>
    <t>436. </t>
  </si>
  <si>
    <t>Turbo PASCAL 4-5</t>
  </si>
  <si>
    <t>437. </t>
  </si>
  <si>
    <t>Turbo PROLOG</t>
  </si>
  <si>
    <t>438. </t>
  </si>
  <si>
    <t>TURING</t>
  </si>
  <si>
    <t>439. </t>
  </si>
  <si>
    <t>TUTOR</t>
  </si>
  <si>
    <t>440. </t>
  </si>
  <si>
    <t>TWAICE</t>
  </si>
  <si>
    <t>441. </t>
  </si>
  <si>
    <t>UCSD PASCAL</t>
  </si>
  <si>
    <t>442. </t>
  </si>
  <si>
    <t>UFO/IMS</t>
  </si>
  <si>
    <t>443. </t>
  </si>
  <si>
    <t>UHELP</t>
  </si>
  <si>
    <t>444. </t>
  </si>
  <si>
    <t>UNIFACE</t>
  </si>
  <si>
    <t>445. </t>
  </si>
  <si>
    <t>UNIX Shell Scripts</t>
  </si>
  <si>
    <t>446. </t>
  </si>
  <si>
    <t>VAX ACMS</t>
  </si>
  <si>
    <t>447. </t>
  </si>
  <si>
    <t>VAX ADE</t>
  </si>
  <si>
    <t>448. </t>
  </si>
  <si>
    <t>VECTRAN</t>
  </si>
  <si>
    <t>449. </t>
  </si>
  <si>
    <t xml:space="preserve">VHDL </t>
  </si>
  <si>
    <t>450. </t>
  </si>
  <si>
    <t>Visible C</t>
  </si>
  <si>
    <t>451. </t>
  </si>
  <si>
    <t>Visible COBOL</t>
  </si>
  <si>
    <t>452. </t>
  </si>
  <si>
    <t>Visicalc 1</t>
  </si>
  <si>
    <t>453. </t>
  </si>
  <si>
    <t>Visual 4.0</t>
  </si>
  <si>
    <t>454. </t>
  </si>
  <si>
    <t>Visual Basic 1</t>
  </si>
  <si>
    <t>455. </t>
  </si>
  <si>
    <t>Visual Basic 2</t>
  </si>
  <si>
    <t>456. </t>
  </si>
  <si>
    <t>Visual Basic 3</t>
  </si>
  <si>
    <t>457. </t>
  </si>
  <si>
    <t>Visual Basic 4</t>
  </si>
  <si>
    <t>458. </t>
  </si>
  <si>
    <t>Visual Basic 5</t>
  </si>
  <si>
    <t>459. </t>
  </si>
  <si>
    <t>Visual Basic DOS</t>
  </si>
  <si>
    <t>460. </t>
  </si>
  <si>
    <t>Visual C++</t>
  </si>
  <si>
    <t>461. </t>
  </si>
  <si>
    <t>Visual COBOL</t>
  </si>
  <si>
    <t>462. </t>
  </si>
  <si>
    <t>Visual Objects</t>
  </si>
  <si>
    <t>463. </t>
  </si>
  <si>
    <t>VisualAge</t>
  </si>
  <si>
    <t>464. </t>
  </si>
  <si>
    <t>VisualGen</t>
  </si>
  <si>
    <t>465. </t>
  </si>
  <si>
    <t>VS-REXX</t>
  </si>
  <si>
    <t>466. </t>
  </si>
  <si>
    <t>VULCAN</t>
  </si>
  <si>
    <t>467. </t>
  </si>
  <si>
    <t>VZ Programmer</t>
  </si>
  <si>
    <t>468. </t>
  </si>
  <si>
    <t>WARP X</t>
  </si>
  <si>
    <t>469. </t>
  </si>
  <si>
    <t>WATCOM C</t>
  </si>
  <si>
    <t>470. </t>
  </si>
  <si>
    <t>WATCOM C/386</t>
  </si>
  <si>
    <t>471. </t>
  </si>
  <si>
    <t>Waterloo C</t>
  </si>
  <si>
    <t>472. </t>
  </si>
  <si>
    <t>Waterloo PASCAL</t>
  </si>
  <si>
    <t>473. </t>
  </si>
  <si>
    <t>WATFIV</t>
  </si>
  <si>
    <t>474. </t>
  </si>
  <si>
    <t>WATFOR</t>
  </si>
  <si>
    <t>475. </t>
  </si>
  <si>
    <t>WHIP</t>
  </si>
  <si>
    <t>476. </t>
  </si>
  <si>
    <t>Wizard</t>
  </si>
  <si>
    <t>477. </t>
  </si>
  <si>
    <t>XLISP</t>
  </si>
  <si>
    <t>478. </t>
  </si>
  <si>
    <t>YACC</t>
  </si>
  <si>
    <t>479. </t>
  </si>
  <si>
    <t>YACC++</t>
  </si>
  <si>
    <t>480. </t>
  </si>
  <si>
    <t>ZBASIC</t>
  </si>
  <si>
    <t>481. </t>
  </si>
  <si>
    <t>ZIM</t>
  </si>
  <si>
    <t>482. </t>
  </si>
  <si>
    <t>ZLISP</t>
  </si>
  <si>
    <t>Coeficientes y exponentes</t>
  </si>
  <si>
    <t>Tipo de proyecto</t>
  </si>
  <si>
    <t>a</t>
  </si>
  <si>
    <t>b</t>
  </si>
  <si>
    <t>c</t>
  </si>
  <si>
    <t>d</t>
  </si>
  <si>
    <t>1-15K</t>
  </si>
  <si>
    <t>Orgánico</t>
  </si>
  <si>
    <t>15K-30K</t>
  </si>
  <si>
    <t>Semiacoplado</t>
  </si>
  <si>
    <t>&gt;30K</t>
  </si>
  <si>
    <t>Empotrado</t>
  </si>
  <si>
    <t>Puntos de función</t>
  </si>
  <si>
    <t>(PF)*[0.65+0.01*(FA)]</t>
  </si>
  <si>
    <t>COCOMO</t>
  </si>
  <si>
    <r>
      <rPr>
        <rFont val="Century Gothic"/>
        <b/>
        <i/>
        <color rgb="FF000000"/>
        <sz val="11.0"/>
      </rPr>
      <t>E = a (KLDC)</t>
    </r>
    <r>
      <rPr>
        <rFont val="Century Gothic"/>
        <b/>
        <i/>
        <color rgb="FF000000"/>
        <sz val="11.0"/>
        <vertAlign val="superscript"/>
      </rPr>
      <t>b</t>
    </r>
  </si>
  <si>
    <r>
      <rPr>
        <rFont val="Century Gothic"/>
        <b/>
        <i/>
        <color rgb="FF000000"/>
        <sz val="11.0"/>
      </rPr>
      <t>D = c (E)</t>
    </r>
    <r>
      <rPr>
        <rFont val="Century Gothic"/>
        <b/>
        <i/>
        <color rgb="FF000000"/>
        <sz val="11.0"/>
        <vertAlign val="superscript"/>
      </rPr>
      <t>d</t>
    </r>
  </si>
  <si>
    <t>N = E / D</t>
  </si>
  <si>
    <r>
      <rPr>
        <rFont val="Century Gothic"/>
        <i/>
        <color rgb="FF000000"/>
        <sz val="8.0"/>
      </rPr>
      <t>E</t>
    </r>
    <r>
      <rPr>
        <rFont val="Century Gothic"/>
        <color rgb="FF000000"/>
        <sz val="8.0"/>
      </rPr>
      <t xml:space="preserve"> es el esfuerzo representado en personas-mes.</t>
    </r>
  </si>
  <si>
    <r>
      <rPr>
        <rFont val="Century Gothic"/>
        <i/>
        <color rgb="FF000000"/>
        <sz val="8.0"/>
      </rPr>
      <t>D</t>
    </r>
    <r>
      <rPr>
        <rFont val="Century Gothic"/>
        <color rgb="FF000000"/>
        <sz val="8.0"/>
      </rPr>
      <t xml:space="preserve"> el tiempo de desarrollo en meses.</t>
    </r>
  </si>
  <si>
    <r>
      <rPr>
        <rFont val="Century Gothic"/>
        <i/>
        <color rgb="FF000000"/>
        <sz val="8.0"/>
      </rPr>
      <t>N</t>
    </r>
    <r>
      <rPr>
        <rFont val="Century Gothic"/>
        <color rgb="FF000000"/>
        <sz val="8.0"/>
      </rPr>
      <t xml:space="preserve"> es el número de personas para el proyecto.</t>
    </r>
  </si>
  <si>
    <r>
      <rPr>
        <rFont val="Century Gothic"/>
        <i/>
        <color rgb="FF000000"/>
        <sz val="8.0"/>
      </rPr>
      <t>KLDC</t>
    </r>
    <r>
      <rPr>
        <rFont val="Century Gothic"/>
        <color rgb="FF000000"/>
        <sz val="8.0"/>
      </rPr>
      <t xml:space="preserve"> es el número de líneas de código (en miles) estimado distribuidas en el proyecto.</t>
    </r>
  </si>
  <si>
    <t>comprobación</t>
  </si>
  <si>
    <t>Porcentaje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</si>
</sst>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1.0"/>
      <color theme="1"/>
      <name val="Calibri"/>
      <scheme val="minor"/>
    </font>
    <font>
      <b/>
      <sz val="9.0"/>
      <color theme="1"/>
      <name val="Century Gothic"/>
    </font>
    <font>
      <sz val="9.0"/>
      <color theme="1"/>
      <name val="Century Gothic"/>
    </font>
    <font/>
    <font>
      <sz val="11.0"/>
      <color theme="1"/>
      <name val="Century Gothic"/>
    </font>
    <font>
      <b/>
      <sz val="11.0"/>
      <color theme="1"/>
      <name val="Century Gothic"/>
    </font>
    <font>
      <sz val="10.0"/>
      <color theme="1"/>
      <name val="Century Gothic"/>
    </font>
    <font>
      <b/>
      <sz val="12.0"/>
      <color rgb="FF000000"/>
      <name val="Century Gothic"/>
    </font>
    <font>
      <sz val="11.0"/>
      <color rgb="FF000000"/>
      <name val="Century Gothic"/>
    </font>
    <font>
      <i/>
      <sz val="11.0"/>
      <color rgb="FF000000"/>
      <name val="Century Gothic"/>
    </font>
    <font>
      <b/>
      <sz val="14.0"/>
      <color theme="1"/>
      <name val="Century Gothic"/>
    </font>
    <font>
      <i/>
      <sz val="10.0"/>
      <color theme="1"/>
      <name val="Century Gothic"/>
    </font>
    <font>
      <b/>
      <sz val="11.0"/>
      <color rgb="FF000000"/>
      <name val="Century Gothic"/>
    </font>
    <font>
      <sz val="10.0"/>
      <color rgb="FF000000"/>
      <name val="Century Gothic"/>
    </font>
    <font>
      <i/>
      <sz val="10.0"/>
      <color rgb="FF000000"/>
      <name val="Century Gothic"/>
    </font>
    <font>
      <sz val="11.0"/>
      <color theme="1"/>
      <name val="Calibri"/>
    </font>
    <font>
      <color theme="1"/>
      <name val="Calibri"/>
    </font>
    <font>
      <b/>
      <i/>
      <sz val="11.0"/>
      <color rgb="FF000000"/>
      <name val="Century Gothic"/>
    </font>
    <font>
      <sz val="8.0"/>
      <color rgb="FF000000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9797"/>
        <bgColor rgb="FFFF979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1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1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center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vertical="top"/>
    </xf>
    <xf borderId="2" fillId="0" fontId="1" numFmtId="0" xfId="0" applyAlignment="1" applyBorder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0" fontId="3" numFmtId="0" xfId="0" applyBorder="1" applyFont="1"/>
    <xf borderId="2" fillId="0" fontId="1" numFmtId="0" xfId="0" applyAlignment="1" applyBorder="1" applyFont="1">
      <alignment horizontal="left" vertical="top"/>
    </xf>
    <xf borderId="0" fillId="0" fontId="4" numFmtId="0" xfId="0" applyFont="1"/>
    <xf borderId="0" fillId="0" fontId="4" numFmtId="0" xfId="0" applyAlignment="1" applyFont="1">
      <alignment horizontal="left" vertical="top"/>
    </xf>
    <xf borderId="3" fillId="2" fontId="5" numFmtId="0" xfId="0" applyAlignment="1" applyBorder="1" applyFont="1">
      <alignment horizontal="center"/>
    </xf>
    <xf borderId="5" fillId="0" fontId="6" numFmtId="0" xfId="0" applyAlignment="1" applyBorder="1" applyFont="1">
      <alignment shrinkToFit="0" vertical="center" wrapText="1"/>
    </xf>
    <xf borderId="2" fillId="0" fontId="4" numFmtId="0" xfId="0" applyBorder="1" applyFont="1"/>
    <xf borderId="6" fillId="3" fontId="4" numFmtId="0" xfId="0" applyAlignment="1" applyBorder="1" applyFill="1" applyFont="1">
      <alignment horizontal="right"/>
    </xf>
    <xf borderId="2" fillId="3" fontId="4" numFmtId="0" xfId="0" applyAlignment="1" applyBorder="1" applyFont="1">
      <alignment horizontal="right" readingOrder="0"/>
    </xf>
    <xf borderId="2" fillId="4" fontId="4" numFmtId="0" xfId="0" applyAlignment="1" applyBorder="1" applyFill="1" applyFont="1">
      <alignment horizontal="right" readingOrder="0"/>
    </xf>
    <xf borderId="0" fillId="0" fontId="4" numFmtId="0" xfId="0" applyAlignment="1" applyFont="1">
      <alignment horizontal="center"/>
    </xf>
    <xf borderId="2" fillId="5" fontId="7" numFmtId="4" xfId="0" applyAlignment="1" applyBorder="1" applyFill="1" applyFont="1" applyNumberFormat="1">
      <alignment horizontal="right"/>
    </xf>
    <xf borderId="2" fillId="5" fontId="4" numFmtId="0" xfId="0" applyAlignment="1" applyBorder="1" applyFont="1">
      <alignment horizontal="left"/>
    </xf>
    <xf borderId="2" fillId="3" fontId="8" numFmtId="4" xfId="0" applyAlignment="1" applyBorder="1" applyFont="1" applyNumberFormat="1">
      <alignment horizontal="right" readingOrder="0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horizontal="right" readingOrder="0"/>
    </xf>
    <xf borderId="2" fillId="6" fontId="4" numFmtId="0" xfId="0" applyBorder="1" applyFill="1" applyFont="1"/>
    <xf borderId="2" fillId="6" fontId="4" numFmtId="0" xfId="0" applyAlignment="1" applyBorder="1" applyFont="1">
      <alignment horizontal="right"/>
    </xf>
    <xf borderId="2" fillId="0" fontId="5" numFmtId="0" xfId="0" applyBorder="1" applyFont="1"/>
    <xf borderId="2" fillId="7" fontId="4" numFmtId="2" xfId="0" applyAlignment="1" applyBorder="1" applyFill="1" applyFont="1" applyNumberFormat="1">
      <alignment horizontal="right"/>
    </xf>
    <xf borderId="3" fillId="2" fontId="7" numFmtId="4" xfId="0" applyAlignment="1" applyBorder="1" applyFont="1" applyNumberFormat="1">
      <alignment horizontal="center"/>
    </xf>
    <xf borderId="2" fillId="4" fontId="4" numFmtId="4" xfId="0" applyBorder="1" applyFont="1" applyNumberFormat="1"/>
    <xf borderId="2" fillId="4" fontId="4" numFmtId="4" xfId="0" applyAlignment="1" applyBorder="1" applyFont="1" applyNumberFormat="1">
      <alignment horizontal="right"/>
    </xf>
    <xf borderId="1" fillId="8" fontId="9" numFmtId="0" xfId="0" applyAlignment="1" applyBorder="1" applyFill="1" applyFont="1">
      <alignment horizontal="left"/>
    </xf>
    <xf borderId="2" fillId="3" fontId="4" numFmtId="3" xfId="0" applyBorder="1" applyFont="1" applyNumberFormat="1"/>
    <xf borderId="0" fillId="0" fontId="5" numFmtId="0" xfId="0" applyAlignment="1" applyFont="1">
      <alignment horizontal="right"/>
    </xf>
    <xf borderId="2" fillId="0" fontId="5" numFmtId="3" xfId="0" applyBorder="1" applyFont="1" applyNumberFormat="1"/>
    <xf borderId="2" fillId="0" fontId="5" numFmtId="4" xfId="0" applyAlignment="1" applyBorder="1" applyFont="1" applyNumberFormat="1">
      <alignment horizontal="right"/>
    </xf>
    <xf borderId="2" fillId="0" fontId="4" numFmtId="3" xfId="0" applyAlignment="1" applyBorder="1" applyFont="1" applyNumberFormat="1">
      <alignment horizontal="right"/>
    </xf>
    <xf borderId="0" fillId="0" fontId="10" numFmtId="0" xfId="0" applyAlignment="1" applyFont="1">
      <alignment horizontal="right"/>
    </xf>
    <xf borderId="7" fillId="0" fontId="10" numFmtId="4" xfId="0" applyAlignment="1" applyBorder="1" applyFont="1" applyNumberFormat="1">
      <alignment horizontal="right"/>
    </xf>
    <xf borderId="2" fillId="9" fontId="5" numFmtId="0" xfId="0" applyBorder="1" applyFill="1" applyFont="1"/>
    <xf borderId="2" fillId="0" fontId="6" numFmtId="0" xfId="0" applyAlignment="1" applyBorder="1" applyFont="1">
      <alignment horizontal="left" shrinkToFit="0" vertical="top" wrapText="1"/>
    </xf>
    <xf borderId="2" fillId="0" fontId="11" numFmtId="0" xfId="0" applyAlignment="1" applyBorder="1" applyFont="1">
      <alignment horizontal="left" shrinkToFit="0" vertical="top" wrapText="1"/>
    </xf>
    <xf borderId="2" fillId="0" fontId="11" numFmtId="0" xfId="0" applyAlignment="1" applyBorder="1" applyFont="1">
      <alignment shrinkToFit="0" vertical="top" wrapText="1"/>
    </xf>
    <xf borderId="3" fillId="9" fontId="12" numFmtId="0" xfId="0" applyAlignment="1" applyBorder="1" applyFont="1">
      <alignment horizontal="center" shrinkToFit="0" vertical="top" wrapText="1"/>
    </xf>
    <xf borderId="8" fillId="0" fontId="3" numFmtId="0" xfId="0" applyBorder="1" applyFont="1"/>
    <xf borderId="2" fillId="0" fontId="13" numFmtId="0" xfId="0" applyAlignment="1" applyBorder="1" applyFont="1">
      <alignment horizontal="center" shrinkToFit="0" vertical="top" wrapText="1"/>
    </xf>
    <xf borderId="2" fillId="0" fontId="14" numFmtId="0" xfId="0" applyAlignment="1" applyBorder="1" applyFont="1">
      <alignment horizontal="center" shrinkToFit="0" vertical="top" wrapText="1"/>
    </xf>
    <xf borderId="0" fillId="0" fontId="15" numFmtId="0" xfId="0" applyFont="1"/>
    <xf borderId="2" fillId="0" fontId="13" numFmtId="0" xfId="0" applyAlignment="1" applyBorder="1" applyFont="1">
      <alignment horizontal="left" shrinkToFit="0" vertical="top" wrapText="1"/>
    </xf>
    <xf borderId="2" fillId="0" fontId="13" numFmtId="164" xfId="0" applyAlignment="1" applyBorder="1" applyFont="1" applyNumberFormat="1">
      <alignment horizontal="center" shrinkToFit="0" vertical="top" wrapText="1"/>
    </xf>
    <xf borderId="0" fillId="0" fontId="16" numFmtId="0" xfId="0" applyFont="1"/>
    <xf borderId="0" fillId="0" fontId="15" numFmtId="2" xfId="0" applyFont="1" applyNumberFormat="1"/>
    <xf borderId="3" fillId="9" fontId="5" numFmtId="0" xfId="0" applyAlignment="1" applyBorder="1" applyFont="1">
      <alignment horizontal="center"/>
    </xf>
    <xf borderId="0" fillId="0" fontId="5" numFmtId="0" xfId="0" applyFont="1"/>
    <xf borderId="3" fillId="0" fontId="4" numFmtId="0" xfId="0" applyAlignment="1" applyBorder="1" applyFont="1">
      <alignment horizontal="center"/>
    </xf>
    <xf borderId="3" fillId="8" fontId="17" numFmtId="0" xfId="0" applyAlignment="1" applyBorder="1" applyFont="1">
      <alignment horizontal="left"/>
    </xf>
    <xf borderId="9" fillId="8" fontId="18" numFmtId="0" xfId="0" applyAlignment="1" applyBorder="1" applyFont="1">
      <alignment horizontal="left"/>
    </xf>
    <xf borderId="10" fillId="0" fontId="3" numFmtId="0" xfId="0" applyBorder="1" applyFont="1"/>
    <xf borderId="11" fillId="8" fontId="4" numFmtId="4" xfId="0" applyAlignment="1" applyBorder="1" applyFont="1" applyNumberFormat="1">
      <alignment horizontal="left"/>
    </xf>
    <xf borderId="12" fillId="8" fontId="4" numFmtId="4" xfId="0" applyAlignment="1" applyBorder="1" applyFont="1" applyNumberFormat="1">
      <alignment horizontal="left"/>
    </xf>
    <xf borderId="13" fillId="8" fontId="18" numFmtId="0" xfId="0" applyAlignment="1" applyBorder="1" applyFont="1">
      <alignment horizontal="left"/>
    </xf>
    <xf borderId="14" fillId="0" fontId="3" numFmtId="0" xfId="0" applyBorder="1" applyFont="1"/>
    <xf borderId="1" fillId="8" fontId="4" numFmtId="4" xfId="0" applyAlignment="1" applyBorder="1" applyFont="1" applyNumberFormat="1">
      <alignment horizontal="left"/>
    </xf>
    <xf borderId="15" fillId="8" fontId="4" numFmtId="4" xfId="0" applyAlignment="1" applyBorder="1" applyFont="1" applyNumberFormat="1">
      <alignment horizontal="left"/>
    </xf>
    <xf borderId="16" fillId="8" fontId="18" numFmtId="0" xfId="0" applyAlignment="1" applyBorder="1" applyFont="1">
      <alignment horizontal="left"/>
    </xf>
    <xf borderId="17" fillId="0" fontId="3" numFmtId="0" xfId="0" applyBorder="1" applyFont="1"/>
    <xf borderId="18" fillId="0" fontId="3" numFmtId="0" xfId="0" applyBorder="1" applyFont="1"/>
    <xf borderId="2" fillId="9" fontId="12" numFmtId="4" xfId="0" applyAlignment="1" applyBorder="1" applyFont="1" applyNumberFormat="1">
      <alignment horizontal="left"/>
    </xf>
    <xf borderId="2" fillId="0" fontId="8" numFmtId="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819525" cy="3133725"/>
    <xdr:sp>
      <xdr:nvSpPr>
        <xdr:cNvPr descr="Resultado de imagen para posgrados ciateq" id="3" name="Shape 3"/>
        <xdr:cNvSpPr/>
      </xdr:nvSpPr>
      <xdr:spPr>
        <a:xfrm>
          <a:off x="3441000" y="2217900"/>
          <a:ext cx="3810000" cy="31242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47.71"/>
    <col customWidth="1" min="3" max="3" width="6.86"/>
    <col customWidth="1" min="4" max="26" width="255.43"/>
  </cols>
  <sheetData>
    <row r="1" ht="12.0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4" t="s">
        <v>3</v>
      </c>
      <c r="B2" s="5" t="s">
        <v>4</v>
      </c>
      <c r="C2" s="6">
        <v>2.0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4" t="s">
        <v>5</v>
      </c>
      <c r="B3" s="5" t="s">
        <v>6</v>
      </c>
      <c r="C3" s="6">
        <v>2.0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4" t="s">
        <v>7</v>
      </c>
      <c r="B4" s="5" t="s">
        <v>8</v>
      </c>
      <c r="C4" s="6">
        <v>2.0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4" t="s">
        <v>9</v>
      </c>
      <c r="B5" s="5" t="s">
        <v>10</v>
      </c>
      <c r="C5" s="6">
        <v>1.0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4" t="s">
        <v>11</v>
      </c>
      <c r="B6" s="5" t="s">
        <v>12</v>
      </c>
      <c r="C6" s="6">
        <v>3.0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0" customHeight="1">
      <c r="A7" s="4" t="s">
        <v>13</v>
      </c>
      <c r="B7" s="5" t="s">
        <v>14</v>
      </c>
      <c r="C7" s="6">
        <v>3.0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0" customHeight="1">
      <c r="A8" s="4" t="s">
        <v>15</v>
      </c>
      <c r="B8" s="5" t="s">
        <v>16</v>
      </c>
      <c r="C8" s="6">
        <v>2.0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0" customHeight="1">
      <c r="A9" s="4" t="s">
        <v>17</v>
      </c>
      <c r="B9" s="5" t="s">
        <v>18</v>
      </c>
      <c r="C9" s="6">
        <v>3.0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0" customHeight="1">
      <c r="A10" s="4" t="s">
        <v>19</v>
      </c>
      <c r="B10" s="5" t="s">
        <v>20</v>
      </c>
      <c r="C10" s="6">
        <v>2.0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0" customHeight="1">
      <c r="A11" s="4" t="s">
        <v>21</v>
      </c>
      <c r="B11" s="5" t="s">
        <v>22</v>
      </c>
      <c r="C11" s="6">
        <v>2.0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0" customHeight="1">
      <c r="A12" s="4" t="s">
        <v>23</v>
      </c>
      <c r="B12" s="5" t="s">
        <v>24</v>
      </c>
      <c r="C12" s="6">
        <v>1.0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4" t="s">
        <v>25</v>
      </c>
      <c r="B13" s="5" t="s">
        <v>26</v>
      </c>
      <c r="C13" s="6">
        <v>1.0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4" t="s">
        <v>27</v>
      </c>
      <c r="B14" s="5" t="s">
        <v>28</v>
      </c>
      <c r="C14" s="6">
        <v>0.0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4" t="s">
        <v>29</v>
      </c>
      <c r="B15" s="5" t="s">
        <v>30</v>
      </c>
      <c r="C15" s="6">
        <v>2.0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7"/>
      <c r="B16" s="3" t="s">
        <v>31</v>
      </c>
      <c r="C16" s="8">
        <f>SUM(C2:C15)</f>
        <v>26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9" t="s">
        <v>32</v>
      </c>
      <c r="B18" s="1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11">
        <v>0.0</v>
      </c>
      <c r="B19" s="8" t="s">
        <v>33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11">
        <v>1.0</v>
      </c>
      <c r="B20" s="8" t="s">
        <v>34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11">
        <v>2.0</v>
      </c>
      <c r="B21" s="8" t="s">
        <v>35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11">
        <v>3.0</v>
      </c>
      <c r="B22" s="8" t="s">
        <v>36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11">
        <v>4.0</v>
      </c>
      <c r="B23" s="8" t="s">
        <v>37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11">
        <v>5.0</v>
      </c>
      <c r="B24" s="8" t="s">
        <v>38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7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7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7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7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0" customHeight="1">
      <c r="A34" s="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0" customHeight="1">
      <c r="A35" s="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7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7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7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7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7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7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7"/>
      <c r="B48" s="3" t="s">
        <v>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7"/>
      <c r="B49" s="3" t="s">
        <v>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7"/>
      <c r="B50" s="3" t="s">
        <v>8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7"/>
      <c r="B51" s="3" t="s">
        <v>10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7"/>
      <c r="B52" s="3" t="s">
        <v>12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7"/>
      <c r="B53" s="3" t="s">
        <v>14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7"/>
      <c r="B54" s="3" t="s">
        <v>16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7"/>
      <c r="B55" s="3" t="s">
        <v>18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7"/>
      <c r="B56" s="3" t="s">
        <v>20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7"/>
      <c r="B57" s="3" t="s">
        <v>22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7"/>
      <c r="B58" s="3" t="s">
        <v>24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7"/>
      <c r="B59" s="3" t="s">
        <v>26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7"/>
      <c r="B60" s="3" t="s">
        <v>28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7"/>
      <c r="B61" s="3" t="s">
        <v>30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7"/>
      <c r="B62" s="3" t="s">
        <v>39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7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7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7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7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7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7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7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7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7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7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7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7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7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7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7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7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7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7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7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7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7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7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7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7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7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7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7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7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7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7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7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7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7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7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7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7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7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7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7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7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7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7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7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7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7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7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7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7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7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7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7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7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7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7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7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7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7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7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7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7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7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7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7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7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7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7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7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7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7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7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7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7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7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7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7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7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7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7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7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7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7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7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7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7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7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7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7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7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7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7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7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7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7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7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7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7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7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7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7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7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7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7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7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7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7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7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7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7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7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7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7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7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7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7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7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7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7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7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7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7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7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7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7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7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7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7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7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7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7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7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7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7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7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7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7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7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7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7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7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7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7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7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7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7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7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7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7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7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7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7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7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7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7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7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7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7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7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7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7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7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7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7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7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7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7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7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7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7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7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7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7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7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7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7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7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7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7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7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7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7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7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7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7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7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7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7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7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7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7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7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7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7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7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7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7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7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7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7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7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8:B1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37.14"/>
    <col customWidth="1" min="3" max="3" width="23.86"/>
    <col customWidth="1" min="4" max="4" width="15.14"/>
    <col customWidth="1" min="5" max="5" width="11.43"/>
    <col customWidth="1" min="6" max="6" width="5.43"/>
    <col customWidth="1" min="7" max="7" width="23.43"/>
    <col customWidth="1" min="8" max="8" width="5.86"/>
    <col customWidth="1" min="9" max="26" width="11.43"/>
  </cols>
  <sheetData>
    <row r="1" ht="13.5" customHeight="1">
      <c r="A1" s="12"/>
      <c r="B1" s="12"/>
      <c r="C1" s="12"/>
      <c r="D1" s="12"/>
      <c r="E1" s="12"/>
      <c r="F1" s="13"/>
      <c r="G1" s="13"/>
      <c r="H1" s="1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12"/>
      <c r="B2" s="14" t="s">
        <v>40</v>
      </c>
      <c r="C2" s="10"/>
      <c r="D2" s="12"/>
      <c r="E2" s="12"/>
      <c r="F2" s="13"/>
      <c r="G2" s="13"/>
      <c r="H2" s="13"/>
      <c r="I2" s="12"/>
      <c r="J2" s="12"/>
      <c r="K2" s="12"/>
      <c r="L2" s="12"/>
      <c r="M2" s="15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>
      <c r="A3" s="12"/>
      <c r="B3" s="16" t="s">
        <v>41</v>
      </c>
      <c r="C3" s="17">
        <v>12.0</v>
      </c>
      <c r="D3" s="12"/>
      <c r="E3" s="12"/>
      <c r="F3" s="13"/>
      <c r="G3" s="13"/>
      <c r="H3" s="13"/>
      <c r="I3" s="12"/>
      <c r="J3" s="12"/>
      <c r="K3" s="12"/>
      <c r="L3" s="12"/>
      <c r="M3" s="15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3.5" customHeight="1">
      <c r="A4" s="12"/>
      <c r="B4" s="16" t="s">
        <v>42</v>
      </c>
      <c r="C4" s="18">
        <v>26.0</v>
      </c>
      <c r="D4" s="12"/>
      <c r="E4" s="12"/>
      <c r="F4" s="13"/>
      <c r="G4" s="13"/>
      <c r="H4" s="13"/>
      <c r="I4" s="12"/>
      <c r="J4" s="12"/>
      <c r="K4" s="12"/>
      <c r="L4" s="12"/>
      <c r="M4" s="15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3.5" customHeight="1">
      <c r="A5" s="12"/>
      <c r="B5" s="16" t="s">
        <v>43</v>
      </c>
      <c r="C5" s="18">
        <v>9.0</v>
      </c>
      <c r="D5" s="12"/>
      <c r="E5" s="12"/>
      <c r="F5" s="13"/>
      <c r="G5" s="13"/>
      <c r="H5" s="13"/>
      <c r="I5" s="12"/>
      <c r="J5" s="12"/>
      <c r="K5" s="12"/>
      <c r="L5" s="12"/>
      <c r="M5" s="15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3.5" customHeight="1">
      <c r="A6" s="12"/>
      <c r="B6" s="16" t="s">
        <v>44</v>
      </c>
      <c r="C6" s="18">
        <v>28.0</v>
      </c>
      <c r="D6" s="12"/>
      <c r="E6" s="12"/>
      <c r="G6" s="13"/>
      <c r="H6" s="13"/>
      <c r="I6" s="12"/>
      <c r="J6" s="12"/>
      <c r="K6" s="12"/>
      <c r="L6" s="12"/>
      <c r="M6" s="15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3.5" customHeight="1">
      <c r="A7" s="12"/>
      <c r="B7" s="16" t="s">
        <v>45</v>
      </c>
      <c r="C7" s="18">
        <v>0.0</v>
      </c>
      <c r="D7" s="12"/>
      <c r="E7" s="12"/>
      <c r="F7" s="13"/>
      <c r="G7" s="13"/>
      <c r="H7" s="13"/>
      <c r="I7" s="12"/>
      <c r="J7" s="12"/>
      <c r="K7" s="12"/>
      <c r="L7" s="12"/>
      <c r="M7" s="15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3.5" customHeight="1">
      <c r="A8" s="12"/>
      <c r="B8" s="16" t="s">
        <v>46</v>
      </c>
      <c r="C8" s="19">
        <v>26.0</v>
      </c>
      <c r="D8" s="12"/>
      <c r="E8" s="12"/>
      <c r="F8" s="13"/>
      <c r="G8" s="13"/>
      <c r="H8" s="13"/>
      <c r="I8" s="12"/>
      <c r="J8" s="12"/>
      <c r="K8" s="12"/>
      <c r="L8" s="12"/>
      <c r="M8" s="15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3.5" customHeight="1">
      <c r="A9" s="12"/>
      <c r="B9" s="12"/>
      <c r="C9" s="20"/>
      <c r="D9" s="12"/>
      <c r="E9" s="12" t="s">
        <v>47</v>
      </c>
      <c r="F9" s="13"/>
      <c r="G9" s="13"/>
      <c r="H9" s="13"/>
      <c r="I9" s="12"/>
      <c r="J9" s="12"/>
      <c r="K9" s="12"/>
      <c r="L9" s="12"/>
      <c r="M9" s="15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3.5" customHeight="1">
      <c r="A10" s="12"/>
      <c r="B10" s="21" t="s">
        <v>48</v>
      </c>
      <c r="C10" s="22">
        <f>((C3+C4+C5+C6+C7)*(0.65+0.01*(C8)))</f>
        <v>68.25</v>
      </c>
      <c r="D10" s="12"/>
      <c r="E10" s="12"/>
      <c r="F10" s="13"/>
      <c r="G10" s="13"/>
      <c r="H10" s="13"/>
      <c r="I10" s="12"/>
      <c r="J10" s="12"/>
      <c r="K10" s="12"/>
      <c r="L10" s="12"/>
      <c r="M10" s="15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3.5" customHeight="1">
      <c r="A11" s="12"/>
      <c r="B11" s="12" t="s">
        <v>47</v>
      </c>
      <c r="C11" s="12"/>
      <c r="D11" s="12"/>
      <c r="E11" s="12"/>
      <c r="F11" s="13"/>
      <c r="G11" s="13"/>
      <c r="H11" s="13"/>
      <c r="I11" s="12"/>
      <c r="J11" s="12"/>
      <c r="K11" s="12"/>
      <c r="L11" s="12"/>
      <c r="M11" s="15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3.5" customHeight="1">
      <c r="A12" s="12"/>
      <c r="B12" s="14" t="s">
        <v>49</v>
      </c>
      <c r="C12" s="10"/>
      <c r="D12" s="12"/>
      <c r="E12" s="12" t="s">
        <v>47</v>
      </c>
      <c r="F12" s="13"/>
      <c r="G12" s="13"/>
      <c r="H12" s="13"/>
      <c r="I12" s="12"/>
      <c r="J12" s="12"/>
      <c r="K12" s="12"/>
      <c r="L12" s="12"/>
      <c r="M12" s="15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3.5" customHeight="1">
      <c r="A13" s="12"/>
      <c r="B13" s="16" t="s">
        <v>50</v>
      </c>
      <c r="C13" s="23" t="s">
        <v>51</v>
      </c>
      <c r="D13" s="12"/>
      <c r="E13" s="12" t="s">
        <v>47</v>
      </c>
      <c r="F13" s="13"/>
      <c r="G13" s="13"/>
      <c r="H13" s="13"/>
      <c r="I13" s="12"/>
      <c r="J13" s="12"/>
      <c r="K13" s="12"/>
      <c r="L13" s="12"/>
      <c r="M13" s="15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3.5" customHeight="1">
      <c r="A14" s="12"/>
      <c r="B14" s="24" t="s">
        <v>52</v>
      </c>
      <c r="C14" s="25">
        <v>80.0</v>
      </c>
      <c r="D14" s="12"/>
      <c r="E14" s="12"/>
      <c r="F14" s="13"/>
      <c r="G14" s="13"/>
      <c r="H14" s="13"/>
      <c r="I14" s="12"/>
      <c r="J14" s="12"/>
      <c r="K14" s="12"/>
      <c r="L14" s="12"/>
      <c r="M14" s="15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12"/>
      <c r="B15" s="24" t="s">
        <v>53</v>
      </c>
      <c r="C15" s="25">
        <v>13.0</v>
      </c>
      <c r="D15" s="12"/>
      <c r="E15" s="12"/>
      <c r="F15" s="13"/>
      <c r="G15" s="13"/>
      <c r="H15" s="13"/>
      <c r="I15" s="12"/>
      <c r="J15" s="12"/>
      <c r="K15" s="12"/>
      <c r="L15" s="12"/>
      <c r="M15" s="15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3.5" customHeight="1">
      <c r="A16" s="12"/>
      <c r="B16" s="16" t="s">
        <v>31</v>
      </c>
      <c r="C16" s="25">
        <v>93.0</v>
      </c>
      <c r="D16" s="12"/>
      <c r="E16" s="12"/>
      <c r="F16" s="13"/>
      <c r="G16" s="13"/>
      <c r="H16" s="13"/>
      <c r="I16" s="12"/>
      <c r="J16" s="12"/>
      <c r="K16" s="12"/>
      <c r="L16" s="12"/>
      <c r="M16" s="15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3.5" customHeight="1">
      <c r="A17" s="12"/>
      <c r="B17" s="26" t="s">
        <v>54</v>
      </c>
      <c r="C17" s="27">
        <f>C10*C16</f>
        <v>6347.25</v>
      </c>
      <c r="D17" s="12"/>
      <c r="E17" s="12"/>
      <c r="F17" s="13"/>
      <c r="G17" s="13"/>
      <c r="H17" s="13"/>
      <c r="I17" s="12"/>
      <c r="J17" s="12"/>
      <c r="K17" s="12"/>
      <c r="L17" s="12"/>
      <c r="M17" s="15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3.5" customHeight="1">
      <c r="A18" s="12"/>
      <c r="B18" s="28" t="s">
        <v>55</v>
      </c>
      <c r="C18" s="29">
        <f>C17/1000</f>
        <v>6.34725</v>
      </c>
      <c r="D18" s="12"/>
      <c r="E18" s="12"/>
      <c r="F18" s="13"/>
      <c r="G18" s="13"/>
      <c r="H18" s="13"/>
      <c r="I18" s="12"/>
      <c r="J18" s="12"/>
      <c r="K18" s="12"/>
      <c r="L18" s="12"/>
      <c r="M18" s="15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3.5" customHeight="1">
      <c r="A19" s="12"/>
      <c r="B19" s="12"/>
      <c r="C19" s="12"/>
      <c r="D19" s="12"/>
      <c r="E19" s="12"/>
      <c r="F19" s="13"/>
      <c r="G19" s="13"/>
      <c r="H19" s="13"/>
      <c r="I19" s="12"/>
      <c r="J19" s="12"/>
      <c r="K19" s="12"/>
      <c r="L19" s="12"/>
      <c r="M19" s="15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3.5" customHeight="1">
      <c r="A20" s="12"/>
      <c r="B20" s="30" t="s">
        <v>56</v>
      </c>
      <c r="C20" s="10"/>
      <c r="D20" s="12"/>
      <c r="E20" s="12"/>
      <c r="F20" s="13"/>
      <c r="G20" s="13"/>
      <c r="H20" s="13"/>
      <c r="I20" s="12"/>
      <c r="J20" s="12"/>
      <c r="K20" s="12"/>
      <c r="L20" s="12"/>
      <c r="M20" s="15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3.5" customHeight="1">
      <c r="A21" s="12"/>
      <c r="B21" s="31" t="s">
        <v>57</v>
      </c>
      <c r="C21" s="32">
        <f>(POWER(C18,'coeficientes y exponentes'!D3)*'coeficientes y exponentes'!C3)</f>
        <v>16.70806385</v>
      </c>
      <c r="D21" s="33"/>
      <c r="E21" s="12"/>
      <c r="F21" s="13"/>
      <c r="G21" s="13"/>
      <c r="H21" s="13"/>
      <c r="I21" s="12"/>
      <c r="J21" s="12"/>
      <c r="K21" s="12"/>
      <c r="L21" s="12"/>
      <c r="M21" s="15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3.5" customHeight="1">
      <c r="A22" s="12"/>
      <c r="B22" s="31" t="s">
        <v>58</v>
      </c>
      <c r="C22" s="32">
        <f>(POWER(C21,'coeficientes y exponentes'!F3)*'coeficientes y exponentes'!E3)</f>
        <v>7.28873124</v>
      </c>
      <c r="D22" s="33"/>
      <c r="E22" s="12"/>
      <c r="F22" s="13"/>
      <c r="G22" s="13"/>
      <c r="H22" s="13"/>
      <c r="I22" s="12"/>
      <c r="J22" s="12"/>
      <c r="K22" s="12"/>
      <c r="L22" s="12"/>
      <c r="M22" s="15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3.5" customHeight="1">
      <c r="A23" s="12"/>
      <c r="B23" s="31" t="s">
        <v>59</v>
      </c>
      <c r="C23" s="32">
        <f>C21/C22</f>
        <v>2.292314437</v>
      </c>
      <c r="D23" s="33"/>
      <c r="E23" s="12"/>
      <c r="F23" s="13"/>
      <c r="G23" s="13"/>
      <c r="H23" s="13"/>
      <c r="I23" s="12"/>
      <c r="J23" s="12"/>
      <c r="K23" s="12"/>
      <c r="L23" s="12"/>
      <c r="M23" s="15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3.5" customHeight="1">
      <c r="A24" s="12"/>
      <c r="B24" s="13"/>
      <c r="C24" s="13"/>
      <c r="D24" s="33"/>
      <c r="E24" s="12"/>
      <c r="F24" s="13"/>
      <c r="G24" s="13"/>
      <c r="H24" s="13"/>
      <c r="I24" s="12"/>
      <c r="J24" s="12"/>
      <c r="K24" s="12"/>
      <c r="L24" s="12"/>
      <c r="M24" s="15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3.5" customHeight="1">
      <c r="A25" s="12"/>
      <c r="B25" s="30" t="s">
        <v>60</v>
      </c>
      <c r="C25" s="10"/>
      <c r="D25" s="33"/>
      <c r="E25" s="12"/>
      <c r="F25" s="13"/>
      <c r="G25" s="13"/>
      <c r="H25" s="13"/>
      <c r="I25" s="12"/>
      <c r="J25" s="12"/>
      <c r="K25" s="12"/>
      <c r="L25" s="12"/>
      <c r="M25" s="15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3.5" customHeight="1">
      <c r="A26" s="12"/>
      <c r="B26" s="31" t="s">
        <v>61</v>
      </c>
      <c r="C26" s="32">
        <f>C23*8000</f>
        <v>18338.51549</v>
      </c>
      <c r="D26" s="12"/>
      <c r="E26" s="12"/>
      <c r="F26" s="13"/>
      <c r="G26" s="13"/>
      <c r="H26" s="13"/>
      <c r="I26" s="12"/>
      <c r="J26" s="12"/>
      <c r="K26" s="12"/>
      <c r="L26" s="12"/>
      <c r="M26" s="15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3.5" customHeight="1">
      <c r="A27" s="12"/>
      <c r="B27" s="31" t="s">
        <v>62</v>
      </c>
      <c r="C27" s="32">
        <f>C26*C22</f>
        <v>133664.5108</v>
      </c>
      <c r="D27" s="12"/>
      <c r="E27" s="12"/>
      <c r="F27" s="13"/>
      <c r="G27" s="13"/>
      <c r="H27" s="13"/>
      <c r="I27" s="12"/>
      <c r="J27" s="12"/>
      <c r="K27" s="12"/>
      <c r="L27" s="12"/>
      <c r="M27" s="15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>
      <c r="A28" s="12"/>
      <c r="B28" s="12"/>
      <c r="C28" s="12"/>
      <c r="D28" s="12"/>
      <c r="E28" s="12"/>
      <c r="F28" s="13"/>
      <c r="G28" s="13"/>
      <c r="H28" s="13"/>
      <c r="I28" s="12"/>
      <c r="J28" s="12"/>
      <c r="K28" s="12"/>
      <c r="L28" s="12"/>
      <c r="M28" s="15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3.5" customHeight="1">
      <c r="A29" s="12"/>
      <c r="B29" s="30" t="s">
        <v>63</v>
      </c>
      <c r="C29" s="10"/>
      <c r="D29" s="12"/>
      <c r="E29" s="12"/>
      <c r="F29" s="13"/>
      <c r="G29" s="13"/>
      <c r="H29" s="13"/>
      <c r="I29" s="12"/>
      <c r="J29" s="12"/>
      <c r="K29" s="12"/>
      <c r="L29" s="12"/>
      <c r="M29" s="15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3.5" customHeight="1">
      <c r="A30" s="12"/>
      <c r="B30" s="16" t="s">
        <v>64</v>
      </c>
      <c r="C30" s="34">
        <v>20000.0</v>
      </c>
      <c r="D30" s="12"/>
      <c r="E30" s="12"/>
      <c r="F30" s="13"/>
      <c r="G30" s="13"/>
      <c r="H30" s="13"/>
      <c r="I30" s="12"/>
      <c r="J30" s="12"/>
      <c r="K30" s="12"/>
      <c r="L30" s="12"/>
      <c r="M30" s="15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12"/>
      <c r="B31" s="16" t="s">
        <v>65</v>
      </c>
      <c r="C31" s="34">
        <v>4000.0</v>
      </c>
      <c r="D31" s="12"/>
      <c r="E31" s="12"/>
      <c r="F31" s="13"/>
      <c r="G31" s="13"/>
      <c r="H31" s="13"/>
      <c r="I31" s="12"/>
      <c r="J31" s="12"/>
      <c r="K31" s="12"/>
      <c r="L31" s="12"/>
      <c r="M31" s="15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3.5" customHeight="1">
      <c r="A32" s="12"/>
      <c r="B32" s="16" t="s">
        <v>66</v>
      </c>
      <c r="C32" s="34">
        <v>900.0</v>
      </c>
      <c r="D32" s="12"/>
      <c r="E32" s="12"/>
      <c r="F32" s="13"/>
      <c r="G32" s="13"/>
      <c r="H32" s="13"/>
      <c r="I32" s="12"/>
      <c r="J32" s="12"/>
      <c r="K32" s="12"/>
      <c r="L32" s="12"/>
      <c r="M32" s="15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>
      <c r="A33" s="12"/>
      <c r="B33" s="16" t="s">
        <v>67</v>
      </c>
      <c r="C33" s="34">
        <v>10000.0</v>
      </c>
      <c r="D33" s="12"/>
      <c r="E33" s="12"/>
      <c r="F33" s="13"/>
      <c r="G33" s="13"/>
      <c r="H33" s="13"/>
      <c r="I33" s="12"/>
      <c r="J33" s="12"/>
      <c r="K33" s="12"/>
      <c r="L33" s="12"/>
      <c r="M33" s="15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12"/>
      <c r="B34" s="35" t="s">
        <v>68</v>
      </c>
      <c r="C34" s="36">
        <f>SUM(C30:C33)</f>
        <v>34900</v>
      </c>
      <c r="D34" s="12"/>
      <c r="E34" s="12"/>
      <c r="F34" s="13"/>
      <c r="G34" s="13"/>
      <c r="H34" s="13"/>
      <c r="I34" s="12"/>
      <c r="J34" s="12"/>
      <c r="K34" s="12"/>
      <c r="L34" s="12"/>
      <c r="M34" s="15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>
      <c r="A35" s="12"/>
      <c r="B35" s="35" t="s">
        <v>69</v>
      </c>
      <c r="C35" s="37">
        <f>C34*C22</f>
        <v>254376.7203</v>
      </c>
      <c r="D35" s="12"/>
      <c r="E35" s="12"/>
      <c r="F35" s="13"/>
      <c r="G35" s="13"/>
      <c r="H35" s="13"/>
      <c r="I35" s="12"/>
      <c r="J35" s="12"/>
      <c r="K35" s="12"/>
      <c r="L35" s="12"/>
      <c r="M35" s="15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>
      <c r="A36" s="12"/>
      <c r="B36" s="12"/>
      <c r="C36" s="12"/>
      <c r="D36" s="12"/>
      <c r="E36" s="12"/>
      <c r="F36" s="13"/>
      <c r="G36" s="13"/>
      <c r="H36" s="13"/>
      <c r="I36" s="12"/>
      <c r="J36" s="12"/>
      <c r="K36" s="12"/>
      <c r="L36" s="12"/>
      <c r="M36" s="15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>
      <c r="A37" s="12"/>
      <c r="B37" s="30" t="s">
        <v>70</v>
      </c>
      <c r="C37" s="10"/>
      <c r="D37" s="12"/>
      <c r="E37" s="12"/>
      <c r="F37" s="13"/>
      <c r="G37" s="13"/>
      <c r="H37" s="13"/>
      <c r="I37" s="12"/>
      <c r="J37" s="12"/>
      <c r="K37" s="12"/>
      <c r="L37" s="12"/>
      <c r="M37" s="15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>
      <c r="A38" s="12"/>
      <c r="B38" s="16" t="s">
        <v>71</v>
      </c>
      <c r="C38" s="38">
        <f t="shared" ref="C38:C39" si="1">C22</f>
        <v>7.28873124</v>
      </c>
      <c r="D38" s="12"/>
      <c r="E38" s="12"/>
      <c r="F38" s="13"/>
      <c r="G38" s="13"/>
      <c r="H38" s="13"/>
      <c r="I38" s="12"/>
      <c r="J38" s="12"/>
      <c r="K38" s="12"/>
      <c r="L38" s="12"/>
      <c r="M38" s="15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3.5" customHeight="1">
      <c r="A39" s="12"/>
      <c r="B39" s="16" t="s">
        <v>72</v>
      </c>
      <c r="C39" s="38">
        <f t="shared" si="1"/>
        <v>2.292314437</v>
      </c>
      <c r="D39" s="12"/>
      <c r="E39" s="12"/>
      <c r="F39" s="13"/>
      <c r="G39" s="13"/>
      <c r="H39" s="13"/>
      <c r="I39" s="12"/>
      <c r="J39" s="12"/>
      <c r="K39" s="12"/>
      <c r="L39" s="12"/>
      <c r="M39" s="15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9.5" customHeight="1">
      <c r="A40" s="12"/>
      <c r="B40" s="39" t="s">
        <v>73</v>
      </c>
      <c r="C40" s="40">
        <f>C35+C27</f>
        <v>388041.2311</v>
      </c>
      <c r="D40" s="12"/>
      <c r="E40" s="12"/>
      <c r="F40" s="13"/>
      <c r="G40" s="13"/>
      <c r="H40" s="13"/>
      <c r="I40" s="12"/>
      <c r="J40" s="12"/>
      <c r="K40" s="12"/>
      <c r="L40" s="12"/>
      <c r="M40" s="15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3.5" customHeight="1">
      <c r="A41" s="12"/>
      <c r="B41" s="12"/>
      <c r="C41" s="12" t="s">
        <v>74</v>
      </c>
      <c r="D41" s="12"/>
      <c r="E41" s="12"/>
      <c r="F41" s="13"/>
      <c r="G41" s="13"/>
      <c r="H41" s="13"/>
      <c r="I41" s="12"/>
      <c r="J41" s="12"/>
      <c r="K41" s="12"/>
      <c r="L41" s="12"/>
      <c r="M41" s="15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3.5" customHeight="1">
      <c r="A42" s="12"/>
      <c r="B42" s="12"/>
      <c r="C42" s="12" t="s">
        <v>75</v>
      </c>
      <c r="D42" s="12"/>
      <c r="E42" s="12"/>
      <c r="F42" s="13"/>
      <c r="G42" s="13"/>
      <c r="H42" s="13"/>
      <c r="I42" s="12"/>
      <c r="J42" s="12"/>
      <c r="K42" s="12"/>
      <c r="L42" s="12"/>
      <c r="M42" s="15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>
      <c r="A43" s="12"/>
      <c r="B43" s="12"/>
      <c r="C43" s="12"/>
      <c r="D43" s="12"/>
      <c r="E43" s="12"/>
      <c r="F43" s="13"/>
      <c r="G43" s="13"/>
      <c r="H43" s="13"/>
      <c r="I43" s="12"/>
      <c r="J43" s="12"/>
      <c r="K43" s="12"/>
      <c r="L43" s="12"/>
      <c r="M43" s="15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>
      <c r="A44" s="12"/>
      <c r="B44" s="12"/>
      <c r="C44" s="12"/>
      <c r="D44" s="12"/>
      <c r="E44" s="12"/>
      <c r="F44" s="13"/>
      <c r="G44" s="13"/>
      <c r="H44" s="13"/>
      <c r="I44" s="12"/>
      <c r="J44" s="12"/>
      <c r="K44" s="12"/>
      <c r="L44" s="12"/>
      <c r="M44" s="15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>
      <c r="A45" s="12"/>
      <c r="B45" s="12"/>
      <c r="C45" s="12"/>
      <c r="D45" s="12"/>
      <c r="E45" s="12"/>
      <c r="F45" s="13"/>
      <c r="G45" s="13"/>
      <c r="H45" s="13"/>
      <c r="I45" s="12"/>
      <c r="J45" s="12"/>
      <c r="K45" s="12"/>
      <c r="L45" s="12"/>
      <c r="M45" s="15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>
      <c r="A46" s="12"/>
      <c r="B46" s="12"/>
      <c r="C46" s="12"/>
      <c r="D46" s="12"/>
      <c r="E46" s="12"/>
      <c r="F46" s="13"/>
      <c r="G46" s="13"/>
      <c r="H46" s="13"/>
      <c r="I46" s="12"/>
      <c r="J46" s="12"/>
      <c r="K46" s="12"/>
      <c r="L46" s="12"/>
      <c r="M46" s="15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>
      <c r="A47" s="12"/>
      <c r="B47" s="12"/>
      <c r="C47" s="12"/>
      <c r="D47" s="12"/>
      <c r="E47" s="12"/>
      <c r="F47" s="13"/>
      <c r="G47" s="13"/>
      <c r="H47" s="13"/>
      <c r="I47" s="12"/>
      <c r="J47" s="12"/>
      <c r="K47" s="12"/>
      <c r="L47" s="12"/>
      <c r="M47" s="15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3.5" customHeight="1">
      <c r="A48" s="12"/>
      <c r="B48" s="12"/>
      <c r="C48" s="12"/>
      <c r="D48" s="12"/>
      <c r="E48" s="12"/>
      <c r="F48" s="13"/>
      <c r="G48" s="13"/>
      <c r="H48" s="13"/>
      <c r="I48" s="12"/>
      <c r="J48" s="12"/>
      <c r="K48" s="12"/>
      <c r="L48" s="12"/>
      <c r="M48" s="15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>
      <c r="A49" s="12"/>
      <c r="B49" s="12"/>
      <c r="C49" s="12"/>
      <c r="D49" s="12"/>
      <c r="E49" s="12"/>
      <c r="F49" s="13"/>
      <c r="G49" s="13"/>
      <c r="H49" s="13"/>
      <c r="I49" s="12"/>
      <c r="J49" s="12"/>
      <c r="K49" s="12"/>
      <c r="L49" s="12"/>
      <c r="M49" s="15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12"/>
      <c r="B50" s="12"/>
      <c r="C50" s="12"/>
      <c r="D50" s="12"/>
      <c r="E50" s="12"/>
      <c r="F50" s="13"/>
      <c r="G50" s="13"/>
      <c r="H50" s="13"/>
      <c r="I50" s="12"/>
      <c r="J50" s="12"/>
      <c r="K50" s="12"/>
      <c r="L50" s="12"/>
      <c r="M50" s="15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>
      <c r="A51" s="12"/>
      <c r="B51" s="12"/>
      <c r="C51" s="12"/>
      <c r="D51" s="12"/>
      <c r="E51" s="12"/>
      <c r="F51" s="13"/>
      <c r="G51" s="13"/>
      <c r="H51" s="13"/>
      <c r="I51" s="12"/>
      <c r="J51" s="12"/>
      <c r="K51" s="12"/>
      <c r="L51" s="12"/>
      <c r="M51" s="15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>
      <c r="A52" s="12"/>
      <c r="B52" s="12"/>
      <c r="C52" s="12"/>
      <c r="D52" s="12"/>
      <c r="E52" s="12"/>
      <c r="F52" s="13"/>
      <c r="G52" s="13"/>
      <c r="H52" s="13"/>
      <c r="I52" s="12"/>
      <c r="J52" s="12"/>
      <c r="K52" s="12"/>
      <c r="L52" s="12"/>
      <c r="M52" s="15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>
      <c r="A53" s="12"/>
      <c r="B53" s="12"/>
      <c r="C53" s="12"/>
      <c r="D53" s="12"/>
      <c r="E53" s="12"/>
      <c r="F53" s="13"/>
      <c r="G53" s="13"/>
      <c r="H53" s="13"/>
      <c r="I53" s="12"/>
      <c r="J53" s="12"/>
      <c r="K53" s="12"/>
      <c r="L53" s="12"/>
      <c r="M53" s="15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>
      <c r="A54" s="12"/>
      <c r="B54" s="12"/>
      <c r="C54" s="12"/>
      <c r="D54" s="12"/>
      <c r="E54" s="12"/>
      <c r="F54" s="13"/>
      <c r="G54" s="13"/>
      <c r="H54" s="13"/>
      <c r="I54" s="12"/>
      <c r="J54" s="12"/>
      <c r="K54" s="12"/>
      <c r="L54" s="12"/>
      <c r="M54" s="15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>
      <c r="A55" s="12"/>
      <c r="B55" s="12"/>
      <c r="C55" s="12"/>
      <c r="D55" s="12"/>
      <c r="E55" s="12"/>
      <c r="F55" s="13"/>
      <c r="G55" s="13"/>
      <c r="H55" s="13"/>
      <c r="I55" s="12"/>
      <c r="J55" s="12"/>
      <c r="K55" s="12"/>
      <c r="L55" s="12"/>
      <c r="M55" s="15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>
      <c r="A56" s="12"/>
      <c r="B56" s="12"/>
      <c r="C56" s="12"/>
      <c r="D56" s="12"/>
      <c r="E56" s="12"/>
      <c r="F56" s="13"/>
      <c r="G56" s="13"/>
      <c r="H56" s="13"/>
      <c r="I56" s="12"/>
      <c r="J56" s="12"/>
      <c r="K56" s="12"/>
      <c r="L56" s="12"/>
      <c r="M56" s="15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>
      <c r="A57" s="12"/>
      <c r="B57" s="12"/>
      <c r="C57" s="12"/>
      <c r="D57" s="12"/>
      <c r="E57" s="12"/>
      <c r="F57" s="13"/>
      <c r="G57" s="13"/>
      <c r="H57" s="13"/>
      <c r="I57" s="12"/>
      <c r="J57" s="12"/>
      <c r="K57" s="12"/>
      <c r="L57" s="12"/>
      <c r="M57" s="12"/>
      <c r="N57" s="12"/>
      <c r="O57" s="12"/>
      <c r="P57" s="12"/>
      <c r="Q57" s="15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>
      <c r="A58" s="12"/>
      <c r="B58" s="12"/>
      <c r="C58" s="12"/>
      <c r="D58" s="12"/>
      <c r="E58" s="12"/>
      <c r="F58" s="13"/>
      <c r="G58" s="13"/>
      <c r="H58" s="13"/>
      <c r="I58" s="12"/>
      <c r="J58" s="12"/>
      <c r="K58" s="12"/>
      <c r="L58" s="12"/>
      <c r="M58" s="12"/>
      <c r="N58" s="12"/>
      <c r="O58" s="12"/>
      <c r="P58" s="12"/>
      <c r="Q58" s="15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>
      <c r="A59" s="12"/>
      <c r="B59" s="12"/>
      <c r="C59" s="12"/>
      <c r="D59" s="12"/>
      <c r="E59" s="12"/>
      <c r="F59" s="13"/>
      <c r="G59" s="13"/>
      <c r="H59" s="13"/>
      <c r="I59" s="12"/>
      <c r="J59" s="12"/>
      <c r="K59" s="12"/>
      <c r="L59" s="12"/>
      <c r="M59" s="12"/>
      <c r="N59" s="12"/>
      <c r="O59" s="12"/>
      <c r="P59" s="12"/>
      <c r="Q59" s="15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>
      <c r="A60" s="12"/>
      <c r="B60" s="12"/>
      <c r="C60" s="12"/>
      <c r="D60" s="12"/>
      <c r="E60" s="12"/>
      <c r="F60" s="13"/>
      <c r="G60" s="13"/>
      <c r="H60" s="13"/>
      <c r="I60" s="12"/>
      <c r="J60" s="12"/>
      <c r="K60" s="12"/>
      <c r="L60" s="12"/>
      <c r="M60" s="12"/>
      <c r="N60" s="12"/>
      <c r="O60" s="12"/>
      <c r="P60" s="12"/>
      <c r="Q60" s="15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>
      <c r="A61" s="12"/>
      <c r="B61" s="12"/>
      <c r="C61" s="12"/>
      <c r="D61" s="12"/>
      <c r="E61" s="12"/>
      <c r="F61" s="13"/>
      <c r="G61" s="13"/>
      <c r="H61" s="13"/>
      <c r="I61" s="12"/>
      <c r="J61" s="12"/>
      <c r="K61" s="12"/>
      <c r="L61" s="12"/>
      <c r="M61" s="12"/>
      <c r="N61" s="12"/>
      <c r="O61" s="12"/>
      <c r="P61" s="12"/>
      <c r="Q61" s="15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>
      <c r="A62" s="12"/>
      <c r="B62" s="12"/>
      <c r="C62" s="12"/>
      <c r="D62" s="12"/>
      <c r="E62" s="12"/>
      <c r="F62" s="13"/>
      <c r="G62" s="13"/>
      <c r="H62" s="13"/>
      <c r="I62" s="12"/>
      <c r="J62" s="12"/>
      <c r="K62" s="12"/>
      <c r="L62" s="12"/>
      <c r="M62" s="12"/>
      <c r="N62" s="12"/>
      <c r="O62" s="12"/>
      <c r="P62" s="12"/>
      <c r="Q62" s="15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>
      <c r="A63" s="12"/>
      <c r="B63" s="12"/>
      <c r="C63" s="12"/>
      <c r="D63" s="12"/>
      <c r="E63" s="12"/>
      <c r="F63" s="13"/>
      <c r="G63" s="13"/>
      <c r="H63" s="13"/>
      <c r="I63" s="12"/>
      <c r="J63" s="12"/>
      <c r="K63" s="12"/>
      <c r="L63" s="12"/>
      <c r="M63" s="12"/>
      <c r="N63" s="12"/>
      <c r="O63" s="12"/>
      <c r="P63" s="12"/>
      <c r="Q63" s="15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>
      <c r="A64" s="12"/>
      <c r="B64" s="12"/>
      <c r="C64" s="12"/>
      <c r="D64" s="12"/>
      <c r="E64" s="12"/>
      <c r="F64" s="13"/>
      <c r="G64" s="13"/>
      <c r="H64" s="13"/>
      <c r="I64" s="12"/>
      <c r="J64" s="12"/>
      <c r="K64" s="12"/>
      <c r="L64" s="12"/>
      <c r="M64" s="12"/>
      <c r="N64" s="12"/>
      <c r="O64" s="12"/>
      <c r="P64" s="12"/>
      <c r="Q64" s="15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>
      <c r="A65" s="12"/>
      <c r="B65" s="12"/>
      <c r="C65" s="12"/>
      <c r="D65" s="12"/>
      <c r="E65" s="12"/>
      <c r="F65" s="13"/>
      <c r="G65" s="13"/>
      <c r="H65" s="13"/>
      <c r="I65" s="12"/>
      <c r="J65" s="12"/>
      <c r="K65" s="12"/>
      <c r="L65" s="12"/>
      <c r="M65" s="12"/>
      <c r="N65" s="12"/>
      <c r="O65" s="12"/>
      <c r="P65" s="12"/>
      <c r="Q65" s="15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>
      <c r="A66" s="12"/>
      <c r="B66" s="12"/>
      <c r="C66" s="12"/>
      <c r="D66" s="12"/>
      <c r="E66" s="12"/>
      <c r="F66" s="13"/>
      <c r="G66" s="13"/>
      <c r="H66" s="13"/>
      <c r="I66" s="12"/>
      <c r="J66" s="12"/>
      <c r="K66" s="12"/>
      <c r="L66" s="12"/>
      <c r="M66" s="12"/>
      <c r="N66" s="12"/>
      <c r="O66" s="12"/>
      <c r="P66" s="12"/>
      <c r="Q66" s="15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>
      <c r="A67" s="12"/>
      <c r="B67" s="12"/>
      <c r="C67" s="12"/>
      <c r="D67" s="12"/>
      <c r="E67" s="12"/>
      <c r="F67" s="13"/>
      <c r="G67" s="13"/>
      <c r="H67" s="13"/>
      <c r="I67" s="12"/>
      <c r="J67" s="12"/>
      <c r="K67" s="12"/>
      <c r="L67" s="12"/>
      <c r="M67" s="12"/>
      <c r="N67" s="12"/>
      <c r="O67" s="12"/>
      <c r="P67" s="12"/>
      <c r="Q67" s="15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>
      <c r="A68" s="12"/>
      <c r="B68" s="12"/>
      <c r="C68" s="12"/>
      <c r="D68" s="12"/>
      <c r="E68" s="12"/>
      <c r="F68" s="13"/>
      <c r="G68" s="13"/>
      <c r="H68" s="13"/>
      <c r="I68" s="12"/>
      <c r="J68" s="12"/>
      <c r="K68" s="12"/>
      <c r="L68" s="12"/>
      <c r="M68" s="12"/>
      <c r="N68" s="12"/>
      <c r="O68" s="12"/>
      <c r="P68" s="12"/>
      <c r="Q68" s="15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>
      <c r="A69" s="12"/>
      <c r="B69" s="12"/>
      <c r="C69" s="12"/>
      <c r="D69" s="12"/>
      <c r="E69" s="12"/>
      <c r="F69" s="13"/>
      <c r="G69" s="13"/>
      <c r="H69" s="13"/>
      <c r="I69" s="12"/>
      <c r="J69" s="12"/>
      <c r="K69" s="12"/>
      <c r="L69" s="12"/>
      <c r="M69" s="12"/>
      <c r="N69" s="12"/>
      <c r="O69" s="12"/>
      <c r="P69" s="12"/>
      <c r="Q69" s="15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>
      <c r="A70" s="12"/>
      <c r="B70" s="12"/>
      <c r="C70" s="12"/>
      <c r="D70" s="12"/>
      <c r="E70" s="12"/>
      <c r="F70" s="13"/>
      <c r="G70" s="13"/>
      <c r="H70" s="13"/>
      <c r="I70" s="12"/>
      <c r="J70" s="12"/>
      <c r="K70" s="12"/>
      <c r="L70" s="12"/>
      <c r="M70" s="12"/>
      <c r="N70" s="12"/>
      <c r="O70" s="12"/>
      <c r="P70" s="12"/>
      <c r="Q70" s="15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12"/>
      <c r="B71" s="12"/>
      <c r="C71" s="12"/>
      <c r="D71" s="12"/>
      <c r="E71" s="12"/>
      <c r="F71" s="13"/>
      <c r="G71" s="13"/>
      <c r="H71" s="13"/>
      <c r="I71" s="12"/>
      <c r="J71" s="12"/>
      <c r="K71" s="12"/>
      <c r="L71" s="12"/>
      <c r="M71" s="12"/>
      <c r="N71" s="12"/>
      <c r="O71" s="12"/>
      <c r="P71" s="12"/>
      <c r="Q71" s="15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>
      <c r="A72" s="12"/>
      <c r="B72" s="12"/>
      <c r="C72" s="12"/>
      <c r="D72" s="12"/>
      <c r="E72" s="12"/>
      <c r="F72" s="13"/>
      <c r="G72" s="13"/>
      <c r="H72" s="13"/>
      <c r="I72" s="12"/>
      <c r="J72" s="12"/>
      <c r="K72" s="12"/>
      <c r="L72" s="12"/>
      <c r="M72" s="12"/>
      <c r="N72" s="12"/>
      <c r="O72" s="12"/>
      <c r="P72" s="12"/>
      <c r="Q72" s="15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>
      <c r="A73" s="12"/>
      <c r="B73" s="12"/>
      <c r="C73" s="12"/>
      <c r="D73" s="12"/>
      <c r="E73" s="12"/>
      <c r="F73" s="13"/>
      <c r="G73" s="13"/>
      <c r="H73" s="13"/>
      <c r="I73" s="12"/>
      <c r="J73" s="12"/>
      <c r="K73" s="12"/>
      <c r="L73" s="12"/>
      <c r="M73" s="12"/>
      <c r="N73" s="12"/>
      <c r="O73" s="12"/>
      <c r="P73" s="12"/>
      <c r="Q73" s="15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>
      <c r="A74" s="12"/>
      <c r="B74" s="12"/>
      <c r="C74" s="12"/>
      <c r="D74" s="12"/>
      <c r="E74" s="12"/>
      <c r="F74" s="13"/>
      <c r="G74" s="13"/>
      <c r="H74" s="13"/>
      <c r="I74" s="12"/>
      <c r="J74" s="12"/>
      <c r="K74" s="12"/>
      <c r="L74" s="12"/>
      <c r="M74" s="12"/>
      <c r="N74" s="12"/>
      <c r="O74" s="12"/>
      <c r="P74" s="12"/>
      <c r="Q74" s="15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>
      <c r="A75" s="12"/>
      <c r="B75" s="12"/>
      <c r="C75" s="12"/>
      <c r="D75" s="12"/>
      <c r="E75" s="12"/>
      <c r="F75" s="13"/>
      <c r="G75" s="13"/>
      <c r="H75" s="13"/>
      <c r="I75" s="12"/>
      <c r="J75" s="12"/>
      <c r="K75" s="12"/>
      <c r="L75" s="12"/>
      <c r="M75" s="12"/>
      <c r="N75" s="12"/>
      <c r="O75" s="12"/>
      <c r="P75" s="12"/>
      <c r="Q75" s="15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>
      <c r="A76" s="12"/>
      <c r="B76" s="12"/>
      <c r="C76" s="12"/>
      <c r="D76" s="12"/>
      <c r="E76" s="12"/>
      <c r="F76" s="13"/>
      <c r="G76" s="13"/>
      <c r="H76" s="13"/>
      <c r="I76" s="12"/>
      <c r="J76" s="12"/>
      <c r="K76" s="12"/>
      <c r="L76" s="12"/>
      <c r="M76" s="12"/>
      <c r="N76" s="12"/>
      <c r="O76" s="12"/>
      <c r="P76" s="12"/>
      <c r="Q76" s="15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>
      <c r="A77" s="12"/>
      <c r="B77" s="12"/>
      <c r="C77" s="12"/>
      <c r="D77" s="12"/>
      <c r="E77" s="12"/>
      <c r="F77" s="13"/>
      <c r="G77" s="13"/>
      <c r="H77" s="13"/>
      <c r="I77" s="12"/>
      <c r="J77" s="12"/>
      <c r="K77" s="12"/>
      <c r="L77" s="12"/>
      <c r="M77" s="12"/>
      <c r="N77" s="12"/>
      <c r="O77" s="12"/>
      <c r="P77" s="12"/>
      <c r="Q77" s="15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>
      <c r="A78" s="12"/>
      <c r="B78" s="12"/>
      <c r="C78" s="12"/>
      <c r="D78" s="12"/>
      <c r="E78" s="12"/>
      <c r="F78" s="13"/>
      <c r="G78" s="13"/>
      <c r="H78" s="13"/>
      <c r="I78" s="12"/>
      <c r="J78" s="12"/>
      <c r="K78" s="12"/>
      <c r="L78" s="12"/>
      <c r="M78" s="12"/>
      <c r="N78" s="12"/>
      <c r="O78" s="12"/>
      <c r="P78" s="12"/>
      <c r="Q78" s="15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>
      <c r="A79" s="12"/>
      <c r="B79" s="12"/>
      <c r="C79" s="12"/>
      <c r="D79" s="12"/>
      <c r="E79" s="12"/>
      <c r="F79" s="13"/>
      <c r="G79" s="13"/>
      <c r="H79" s="13"/>
      <c r="I79" s="12"/>
      <c r="J79" s="12"/>
      <c r="K79" s="12"/>
      <c r="L79" s="12"/>
      <c r="M79" s="12"/>
      <c r="N79" s="12"/>
      <c r="O79" s="12"/>
      <c r="P79" s="12"/>
      <c r="Q79" s="15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>
      <c r="A80" s="12"/>
      <c r="B80" s="12"/>
      <c r="C80" s="12"/>
      <c r="D80" s="12"/>
      <c r="E80" s="12"/>
      <c r="F80" s="13"/>
      <c r="G80" s="13"/>
      <c r="H80" s="13"/>
      <c r="I80" s="12"/>
      <c r="J80" s="12"/>
      <c r="K80" s="12"/>
      <c r="L80" s="12"/>
      <c r="M80" s="12"/>
      <c r="N80" s="12"/>
      <c r="O80" s="12"/>
      <c r="P80" s="12"/>
      <c r="Q80" s="15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>
      <c r="A81" s="12"/>
      <c r="B81" s="12"/>
      <c r="C81" s="12"/>
      <c r="D81" s="12"/>
      <c r="E81" s="12"/>
      <c r="F81" s="13"/>
      <c r="G81" s="13"/>
      <c r="H81" s="13"/>
      <c r="I81" s="12"/>
      <c r="J81" s="12"/>
      <c r="K81" s="12"/>
      <c r="L81" s="12"/>
      <c r="M81" s="12"/>
      <c r="N81" s="12"/>
      <c r="O81" s="12"/>
      <c r="P81" s="12"/>
      <c r="Q81" s="15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>
      <c r="A82" s="12"/>
      <c r="B82" s="12"/>
      <c r="C82" s="12"/>
      <c r="D82" s="12"/>
      <c r="E82" s="12"/>
      <c r="F82" s="13"/>
      <c r="G82" s="13"/>
      <c r="H82" s="13"/>
      <c r="I82" s="12"/>
      <c r="J82" s="12"/>
      <c r="K82" s="12"/>
      <c r="L82" s="12"/>
      <c r="M82" s="12"/>
      <c r="N82" s="12"/>
      <c r="O82" s="12"/>
      <c r="P82" s="12"/>
      <c r="Q82" s="15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>
      <c r="A83" s="12"/>
      <c r="B83" s="12"/>
      <c r="C83" s="12"/>
      <c r="D83" s="12"/>
      <c r="E83" s="12"/>
      <c r="F83" s="13"/>
      <c r="G83" s="13"/>
      <c r="H83" s="13"/>
      <c r="I83" s="12"/>
      <c r="J83" s="12"/>
      <c r="K83" s="12"/>
      <c r="L83" s="12"/>
      <c r="M83" s="12"/>
      <c r="N83" s="12"/>
      <c r="O83" s="12"/>
      <c r="P83" s="12"/>
      <c r="Q83" s="15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>
      <c r="A84" s="12"/>
      <c r="B84" s="12"/>
      <c r="C84" s="12"/>
      <c r="D84" s="12"/>
      <c r="E84" s="12"/>
      <c r="F84" s="13"/>
      <c r="G84" s="13"/>
      <c r="H84" s="13"/>
      <c r="I84" s="12"/>
      <c r="J84" s="12"/>
      <c r="K84" s="12"/>
      <c r="L84" s="12"/>
      <c r="M84" s="12"/>
      <c r="N84" s="12"/>
      <c r="O84" s="12"/>
      <c r="P84" s="12"/>
      <c r="Q84" s="15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>
      <c r="A85" s="12"/>
      <c r="B85" s="12"/>
      <c r="C85" s="12"/>
      <c r="D85" s="12"/>
      <c r="E85" s="12"/>
      <c r="F85" s="13"/>
      <c r="G85" s="13"/>
      <c r="H85" s="13"/>
      <c r="I85" s="12"/>
      <c r="J85" s="12"/>
      <c r="K85" s="12"/>
      <c r="L85" s="12"/>
      <c r="M85" s="12"/>
      <c r="N85" s="12"/>
      <c r="O85" s="12"/>
      <c r="P85" s="12"/>
      <c r="Q85" s="15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>
      <c r="A86" s="12"/>
      <c r="B86" s="12"/>
      <c r="C86" s="12"/>
      <c r="D86" s="12"/>
      <c r="E86" s="12"/>
      <c r="F86" s="13"/>
      <c r="G86" s="13"/>
      <c r="H86" s="13"/>
      <c r="I86" s="12"/>
      <c r="J86" s="12"/>
      <c r="K86" s="12"/>
      <c r="L86" s="12"/>
      <c r="M86" s="12"/>
      <c r="N86" s="12"/>
      <c r="O86" s="12"/>
      <c r="P86" s="12"/>
      <c r="Q86" s="15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>
      <c r="A87" s="12"/>
      <c r="B87" s="12"/>
      <c r="C87" s="12"/>
      <c r="D87" s="12"/>
      <c r="E87" s="12"/>
      <c r="F87" s="13"/>
      <c r="G87" s="13"/>
      <c r="H87" s="13"/>
      <c r="I87" s="12"/>
      <c r="J87" s="12"/>
      <c r="K87" s="12"/>
      <c r="L87" s="12"/>
      <c r="M87" s="12"/>
      <c r="N87" s="12"/>
      <c r="O87" s="12"/>
      <c r="P87" s="12"/>
      <c r="Q87" s="15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>
      <c r="A88" s="12"/>
      <c r="B88" s="12"/>
      <c r="C88" s="12"/>
      <c r="D88" s="12"/>
      <c r="E88" s="12"/>
      <c r="F88" s="13"/>
      <c r="G88" s="13"/>
      <c r="H88" s="13"/>
      <c r="I88" s="12"/>
      <c r="J88" s="12"/>
      <c r="K88" s="12"/>
      <c r="L88" s="12"/>
      <c r="M88" s="12"/>
      <c r="N88" s="12"/>
      <c r="O88" s="12"/>
      <c r="P88" s="12"/>
      <c r="Q88" s="15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>
      <c r="A89" s="12"/>
      <c r="B89" s="12"/>
      <c r="C89" s="12"/>
      <c r="D89" s="12"/>
      <c r="E89" s="12"/>
      <c r="F89" s="13"/>
      <c r="G89" s="13"/>
      <c r="H89" s="13"/>
      <c r="I89" s="12"/>
      <c r="J89" s="12"/>
      <c r="K89" s="12"/>
      <c r="L89" s="12"/>
      <c r="M89" s="12"/>
      <c r="N89" s="12"/>
      <c r="O89" s="12"/>
      <c r="P89" s="12"/>
      <c r="Q89" s="15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12"/>
      <c r="B90" s="12"/>
      <c r="C90" s="12"/>
      <c r="D90" s="12"/>
      <c r="E90" s="12"/>
      <c r="F90" s="13"/>
      <c r="G90" s="13"/>
      <c r="H90" s="13"/>
      <c r="I90" s="12"/>
      <c r="J90" s="12"/>
      <c r="K90" s="12"/>
      <c r="L90" s="12"/>
      <c r="M90" s="12"/>
      <c r="N90" s="12"/>
      <c r="O90" s="12"/>
      <c r="P90" s="12"/>
      <c r="Q90" s="15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>
      <c r="A91" s="12"/>
      <c r="B91" s="12"/>
      <c r="C91" s="12"/>
      <c r="D91" s="12"/>
      <c r="E91" s="12"/>
      <c r="F91" s="13"/>
      <c r="G91" s="13"/>
      <c r="H91" s="13"/>
      <c r="I91" s="12"/>
      <c r="J91" s="12"/>
      <c r="K91" s="12"/>
      <c r="L91" s="12"/>
      <c r="M91" s="12"/>
      <c r="N91" s="12"/>
      <c r="O91" s="12"/>
      <c r="P91" s="12"/>
      <c r="Q91" s="15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>
      <c r="A92" s="12"/>
      <c r="B92" s="12"/>
      <c r="C92" s="12"/>
      <c r="D92" s="12"/>
      <c r="E92" s="12"/>
      <c r="F92" s="13"/>
      <c r="G92" s="13"/>
      <c r="H92" s="13"/>
      <c r="I92" s="12"/>
      <c r="J92" s="12"/>
      <c r="K92" s="12"/>
      <c r="L92" s="12"/>
      <c r="M92" s="12"/>
      <c r="N92" s="12"/>
      <c r="O92" s="12"/>
      <c r="P92" s="12"/>
      <c r="Q92" s="15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12"/>
      <c r="B93" s="12"/>
      <c r="C93" s="12"/>
      <c r="D93" s="12"/>
      <c r="E93" s="12"/>
      <c r="F93" s="13"/>
      <c r="G93" s="13"/>
      <c r="H93" s="13"/>
      <c r="I93" s="12"/>
      <c r="J93" s="12"/>
      <c r="K93" s="12"/>
      <c r="L93" s="12"/>
      <c r="M93" s="12"/>
      <c r="N93" s="12"/>
      <c r="O93" s="12"/>
      <c r="P93" s="12"/>
      <c r="Q93" s="15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>
      <c r="A94" s="12"/>
      <c r="B94" s="12"/>
      <c r="C94" s="12"/>
      <c r="D94" s="12"/>
      <c r="E94" s="12"/>
      <c r="F94" s="13"/>
      <c r="G94" s="13"/>
      <c r="H94" s="13"/>
      <c r="I94" s="12"/>
      <c r="J94" s="12"/>
      <c r="K94" s="12"/>
      <c r="L94" s="12"/>
      <c r="M94" s="12"/>
      <c r="N94" s="12"/>
      <c r="O94" s="12"/>
      <c r="P94" s="12"/>
      <c r="Q94" s="15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12"/>
      <c r="B95" s="12"/>
      <c r="C95" s="12"/>
      <c r="D95" s="12"/>
      <c r="E95" s="12"/>
      <c r="F95" s="13"/>
      <c r="G95" s="13"/>
      <c r="H95" s="13"/>
      <c r="I95" s="12"/>
      <c r="J95" s="12"/>
      <c r="K95" s="12"/>
      <c r="L95" s="12"/>
      <c r="M95" s="12"/>
      <c r="N95" s="12"/>
      <c r="O95" s="12"/>
      <c r="P95" s="12"/>
      <c r="Q95" s="15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>
      <c r="A96" s="12"/>
      <c r="B96" s="12"/>
      <c r="C96" s="12"/>
      <c r="D96" s="12"/>
      <c r="E96" s="12"/>
      <c r="F96" s="13"/>
      <c r="G96" s="13"/>
      <c r="H96" s="13"/>
      <c r="I96" s="12"/>
      <c r="J96" s="12"/>
      <c r="K96" s="12"/>
      <c r="L96" s="12"/>
      <c r="M96" s="12"/>
      <c r="N96" s="12"/>
      <c r="O96" s="12"/>
      <c r="P96" s="12"/>
      <c r="Q96" s="15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>
      <c r="A97" s="12"/>
      <c r="B97" s="12"/>
      <c r="C97" s="12"/>
      <c r="D97" s="12"/>
      <c r="E97" s="12"/>
      <c r="F97" s="13"/>
      <c r="G97" s="13"/>
      <c r="H97" s="13"/>
      <c r="I97" s="12"/>
      <c r="J97" s="12"/>
      <c r="K97" s="12"/>
      <c r="L97" s="12"/>
      <c r="M97" s="12"/>
      <c r="N97" s="12"/>
      <c r="O97" s="12"/>
      <c r="P97" s="12"/>
      <c r="Q97" s="15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>
      <c r="A98" s="12"/>
      <c r="B98" s="12"/>
      <c r="C98" s="12"/>
      <c r="D98" s="12"/>
      <c r="E98" s="12"/>
      <c r="F98" s="13"/>
      <c r="G98" s="13"/>
      <c r="H98" s="13"/>
      <c r="I98" s="12"/>
      <c r="J98" s="12"/>
      <c r="K98" s="12"/>
      <c r="L98" s="12"/>
      <c r="M98" s="12"/>
      <c r="N98" s="12"/>
      <c r="O98" s="12"/>
      <c r="P98" s="12"/>
      <c r="Q98" s="15"/>
      <c r="R98" s="12"/>
      <c r="S98" s="12"/>
      <c r="T98" s="12"/>
      <c r="U98" s="12"/>
      <c r="V98" s="12"/>
      <c r="W98" s="12"/>
      <c r="X98" s="12"/>
      <c r="Y98" s="12"/>
      <c r="Z98" s="12"/>
    </row>
    <row r="99" ht="13.5" customHeight="1">
      <c r="A99" s="12"/>
      <c r="B99" s="12"/>
      <c r="C99" s="12"/>
      <c r="D99" s="12"/>
      <c r="E99" s="12"/>
      <c r="F99" s="13"/>
      <c r="G99" s="13"/>
      <c r="H99" s="13"/>
      <c r="I99" s="12"/>
      <c r="J99" s="12"/>
      <c r="K99" s="12"/>
      <c r="L99" s="12"/>
      <c r="M99" s="12"/>
      <c r="N99" s="12"/>
      <c r="O99" s="12"/>
      <c r="P99" s="12"/>
      <c r="Q99" s="15"/>
      <c r="R99" s="12"/>
      <c r="S99" s="12"/>
      <c r="T99" s="12"/>
      <c r="U99" s="12"/>
      <c r="V99" s="12"/>
      <c r="W99" s="12"/>
      <c r="X99" s="12"/>
      <c r="Y99" s="12"/>
      <c r="Z99" s="12"/>
    </row>
    <row r="100" ht="13.5" customHeight="1">
      <c r="A100" s="12"/>
      <c r="B100" s="12"/>
      <c r="C100" s="12"/>
      <c r="D100" s="12"/>
      <c r="E100" s="12"/>
      <c r="F100" s="13"/>
      <c r="G100" s="13"/>
      <c r="H100" s="13"/>
      <c r="I100" s="12"/>
      <c r="J100" s="12"/>
      <c r="K100" s="12"/>
      <c r="L100" s="12"/>
      <c r="M100" s="12"/>
      <c r="N100" s="12"/>
      <c r="O100" s="12"/>
      <c r="P100" s="12"/>
      <c r="Q100" s="15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3.5" customHeight="1">
      <c r="A101" s="12"/>
      <c r="B101" s="12"/>
      <c r="C101" s="12"/>
      <c r="D101" s="12"/>
      <c r="E101" s="12"/>
      <c r="F101" s="13"/>
      <c r="G101" s="13"/>
      <c r="H101" s="13"/>
      <c r="I101" s="12"/>
      <c r="J101" s="12"/>
      <c r="K101" s="12"/>
      <c r="L101" s="12"/>
      <c r="M101" s="12"/>
      <c r="N101" s="12"/>
      <c r="O101" s="12"/>
      <c r="P101" s="12"/>
      <c r="Q101" s="15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3.5" customHeight="1">
      <c r="A102" s="12"/>
      <c r="B102" s="12"/>
      <c r="C102" s="12"/>
      <c r="D102" s="12"/>
      <c r="E102" s="12"/>
      <c r="F102" s="13"/>
      <c r="G102" s="13"/>
      <c r="H102" s="13"/>
      <c r="I102" s="12"/>
      <c r="J102" s="12"/>
      <c r="K102" s="12"/>
      <c r="L102" s="12"/>
      <c r="M102" s="12"/>
      <c r="N102" s="12"/>
      <c r="O102" s="12"/>
      <c r="P102" s="12"/>
      <c r="Q102" s="15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3.5" customHeight="1">
      <c r="A103" s="12"/>
      <c r="B103" s="12"/>
      <c r="C103" s="12"/>
      <c r="D103" s="12"/>
      <c r="E103" s="12"/>
      <c r="F103" s="13"/>
      <c r="G103" s="13"/>
      <c r="H103" s="13"/>
      <c r="I103" s="12"/>
      <c r="J103" s="12"/>
      <c r="K103" s="12"/>
      <c r="L103" s="12"/>
      <c r="M103" s="12"/>
      <c r="N103" s="12"/>
      <c r="O103" s="12"/>
      <c r="P103" s="12"/>
      <c r="Q103" s="15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3.5" customHeight="1">
      <c r="A104" s="12"/>
      <c r="B104" s="12"/>
      <c r="C104" s="12"/>
      <c r="D104" s="12"/>
      <c r="E104" s="12"/>
      <c r="F104" s="13"/>
      <c r="G104" s="13"/>
      <c r="H104" s="13"/>
      <c r="I104" s="12"/>
      <c r="J104" s="12"/>
      <c r="K104" s="12"/>
      <c r="L104" s="12"/>
      <c r="M104" s="12"/>
      <c r="N104" s="12"/>
      <c r="O104" s="12"/>
      <c r="P104" s="12"/>
      <c r="Q104" s="15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3.5" customHeight="1">
      <c r="A105" s="12"/>
      <c r="B105" s="12"/>
      <c r="C105" s="12"/>
      <c r="D105" s="12"/>
      <c r="E105" s="12"/>
      <c r="F105" s="13"/>
      <c r="G105" s="13"/>
      <c r="H105" s="13"/>
      <c r="I105" s="12"/>
      <c r="J105" s="12"/>
      <c r="K105" s="12"/>
      <c r="L105" s="12"/>
      <c r="M105" s="12"/>
      <c r="N105" s="12"/>
      <c r="O105" s="12"/>
      <c r="P105" s="12"/>
      <c r="Q105" s="15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3.5" customHeight="1">
      <c r="A106" s="12"/>
      <c r="B106" s="12"/>
      <c r="C106" s="12"/>
      <c r="D106" s="12"/>
      <c r="E106" s="12"/>
      <c r="F106" s="13"/>
      <c r="G106" s="13"/>
      <c r="H106" s="13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3.5" customHeight="1">
      <c r="A107" s="12"/>
      <c r="B107" s="12"/>
      <c r="C107" s="12"/>
      <c r="D107" s="12"/>
      <c r="E107" s="12"/>
      <c r="F107" s="13"/>
      <c r="G107" s="13"/>
      <c r="H107" s="13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3.5" customHeight="1">
      <c r="A108" s="12"/>
      <c r="B108" s="12"/>
      <c r="C108" s="12"/>
      <c r="D108" s="12"/>
      <c r="E108" s="12"/>
      <c r="F108" s="13"/>
      <c r="G108" s="13"/>
      <c r="H108" s="13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3.5" customHeight="1">
      <c r="A109" s="12"/>
      <c r="B109" s="12"/>
      <c r="C109" s="12"/>
      <c r="D109" s="12"/>
      <c r="E109" s="12"/>
      <c r="F109" s="13"/>
      <c r="G109" s="13"/>
      <c r="H109" s="13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3.5" customHeight="1">
      <c r="A110" s="12"/>
      <c r="B110" s="12"/>
      <c r="C110" s="12"/>
      <c r="D110" s="12"/>
      <c r="E110" s="12"/>
      <c r="F110" s="13"/>
      <c r="G110" s="13"/>
      <c r="H110" s="13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3.5" customHeight="1">
      <c r="A111" s="12"/>
      <c r="B111" s="12"/>
      <c r="C111" s="12"/>
      <c r="D111" s="12"/>
      <c r="E111" s="12"/>
      <c r="F111" s="13"/>
      <c r="G111" s="13"/>
      <c r="H111" s="13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3.5" customHeight="1">
      <c r="A112" s="12"/>
      <c r="B112" s="12"/>
      <c r="C112" s="12"/>
      <c r="D112" s="12"/>
      <c r="E112" s="12"/>
      <c r="F112" s="13"/>
      <c r="G112" s="13"/>
      <c r="H112" s="13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3.5" customHeight="1">
      <c r="A113" s="12"/>
      <c r="B113" s="12"/>
      <c r="C113" s="12"/>
      <c r="D113" s="12"/>
      <c r="E113" s="12"/>
      <c r="F113" s="13"/>
      <c r="G113" s="13"/>
      <c r="H113" s="13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3.5" customHeight="1">
      <c r="A114" s="12"/>
      <c r="B114" s="12"/>
      <c r="C114" s="12"/>
      <c r="D114" s="12"/>
      <c r="E114" s="12"/>
      <c r="F114" s="13"/>
      <c r="G114" s="13"/>
      <c r="H114" s="13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3.5" customHeight="1">
      <c r="A115" s="12"/>
      <c r="B115" s="12"/>
      <c r="C115" s="12"/>
      <c r="D115" s="12"/>
      <c r="E115" s="12"/>
      <c r="F115" s="13"/>
      <c r="G115" s="13"/>
      <c r="H115" s="13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3.5" customHeight="1">
      <c r="A116" s="12"/>
      <c r="B116" s="12"/>
      <c r="C116" s="12"/>
      <c r="D116" s="12"/>
      <c r="E116" s="12"/>
      <c r="F116" s="13"/>
      <c r="G116" s="13"/>
      <c r="H116" s="13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3.5" customHeight="1">
      <c r="A117" s="12"/>
      <c r="B117" s="12"/>
      <c r="C117" s="12"/>
      <c r="D117" s="12"/>
      <c r="E117" s="12"/>
      <c r="F117" s="13"/>
      <c r="G117" s="13"/>
      <c r="H117" s="13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3.5" customHeight="1">
      <c r="A118" s="12"/>
      <c r="B118" s="12"/>
      <c r="C118" s="12"/>
      <c r="D118" s="12"/>
      <c r="E118" s="12"/>
      <c r="F118" s="13"/>
      <c r="G118" s="13"/>
      <c r="H118" s="13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3.5" customHeight="1">
      <c r="A119" s="12"/>
      <c r="B119" s="12"/>
      <c r="C119" s="12"/>
      <c r="D119" s="12"/>
      <c r="E119" s="12"/>
      <c r="F119" s="13"/>
      <c r="G119" s="13"/>
      <c r="H119" s="13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3.5" customHeight="1">
      <c r="A120" s="12"/>
      <c r="B120" s="12"/>
      <c r="C120" s="12"/>
      <c r="D120" s="12"/>
      <c r="E120" s="12"/>
      <c r="F120" s="13"/>
      <c r="G120" s="13"/>
      <c r="H120" s="13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3.5" customHeight="1">
      <c r="A121" s="12"/>
      <c r="B121" s="12"/>
      <c r="C121" s="12"/>
      <c r="D121" s="12"/>
      <c r="E121" s="12"/>
      <c r="F121" s="13"/>
      <c r="G121" s="13"/>
      <c r="H121" s="13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3.5" customHeight="1">
      <c r="A122" s="12"/>
      <c r="B122" s="12"/>
      <c r="C122" s="12"/>
      <c r="D122" s="12"/>
      <c r="E122" s="12"/>
      <c r="F122" s="13"/>
      <c r="G122" s="13"/>
      <c r="H122" s="13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3.5" customHeight="1">
      <c r="A123" s="12"/>
      <c r="B123" s="12"/>
      <c r="C123" s="12"/>
      <c r="D123" s="12"/>
      <c r="E123" s="12"/>
      <c r="F123" s="13"/>
      <c r="G123" s="13"/>
      <c r="H123" s="13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3.5" customHeight="1">
      <c r="A124" s="12"/>
      <c r="B124" s="12"/>
      <c r="C124" s="12"/>
      <c r="D124" s="12"/>
      <c r="E124" s="12"/>
      <c r="F124" s="13"/>
      <c r="G124" s="13"/>
      <c r="H124" s="13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3.5" customHeight="1">
      <c r="A125" s="12"/>
      <c r="B125" s="12"/>
      <c r="C125" s="12"/>
      <c r="D125" s="12"/>
      <c r="E125" s="12"/>
      <c r="F125" s="13"/>
      <c r="G125" s="13"/>
      <c r="H125" s="13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3.5" customHeight="1">
      <c r="A126" s="12"/>
      <c r="B126" s="12"/>
      <c r="C126" s="12"/>
      <c r="D126" s="12"/>
      <c r="E126" s="12"/>
      <c r="F126" s="13"/>
      <c r="G126" s="13"/>
      <c r="H126" s="13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3.5" customHeight="1">
      <c r="A127" s="12"/>
      <c r="B127" s="12"/>
      <c r="C127" s="12"/>
      <c r="D127" s="12"/>
      <c r="E127" s="12"/>
      <c r="F127" s="13"/>
      <c r="G127" s="13"/>
      <c r="H127" s="13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3.5" customHeight="1">
      <c r="A128" s="12"/>
      <c r="B128" s="12"/>
      <c r="C128" s="12"/>
      <c r="D128" s="12"/>
      <c r="E128" s="12"/>
      <c r="F128" s="13"/>
      <c r="G128" s="13"/>
      <c r="H128" s="13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3.5" customHeight="1">
      <c r="A129" s="12"/>
      <c r="B129" s="12"/>
      <c r="C129" s="12"/>
      <c r="D129" s="12"/>
      <c r="E129" s="12"/>
      <c r="F129" s="13"/>
      <c r="G129" s="13"/>
      <c r="H129" s="13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3.5" customHeight="1">
      <c r="A130" s="12"/>
      <c r="B130" s="12"/>
      <c r="C130" s="12"/>
      <c r="D130" s="12"/>
      <c r="E130" s="12"/>
      <c r="F130" s="13"/>
      <c r="G130" s="13"/>
      <c r="H130" s="13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3.5" customHeight="1">
      <c r="A131" s="12"/>
      <c r="B131" s="12"/>
      <c r="C131" s="12"/>
      <c r="D131" s="12"/>
      <c r="E131" s="12"/>
      <c r="F131" s="13"/>
      <c r="G131" s="13"/>
      <c r="H131" s="13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3.5" customHeight="1">
      <c r="A132" s="12"/>
      <c r="B132" s="12"/>
      <c r="C132" s="12"/>
      <c r="D132" s="12"/>
      <c r="E132" s="12"/>
      <c r="F132" s="13"/>
      <c r="G132" s="13"/>
      <c r="H132" s="13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3.5" customHeight="1">
      <c r="A133" s="12"/>
      <c r="B133" s="12"/>
      <c r="C133" s="12"/>
      <c r="D133" s="12"/>
      <c r="E133" s="12"/>
      <c r="F133" s="13"/>
      <c r="G133" s="13"/>
      <c r="H133" s="13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3.5" customHeight="1">
      <c r="A134" s="12"/>
      <c r="B134" s="12"/>
      <c r="C134" s="12"/>
      <c r="D134" s="12"/>
      <c r="E134" s="12"/>
      <c r="F134" s="13"/>
      <c r="G134" s="13"/>
      <c r="H134" s="13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3.5" customHeight="1">
      <c r="A135" s="12"/>
      <c r="B135" s="12"/>
      <c r="C135" s="12"/>
      <c r="D135" s="12"/>
      <c r="E135" s="12"/>
      <c r="F135" s="13"/>
      <c r="G135" s="13"/>
      <c r="H135" s="13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3.5" customHeight="1">
      <c r="A136" s="12"/>
      <c r="B136" s="12"/>
      <c r="C136" s="12"/>
      <c r="D136" s="12"/>
      <c r="E136" s="12"/>
      <c r="F136" s="13"/>
      <c r="G136" s="13"/>
      <c r="H136" s="13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3.5" customHeight="1">
      <c r="A137" s="12"/>
      <c r="B137" s="12"/>
      <c r="C137" s="12"/>
      <c r="D137" s="12"/>
      <c r="E137" s="12"/>
      <c r="F137" s="13"/>
      <c r="G137" s="13"/>
      <c r="H137" s="13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3.5" customHeight="1">
      <c r="A138" s="12"/>
      <c r="B138" s="12"/>
      <c r="C138" s="12"/>
      <c r="D138" s="12"/>
      <c r="E138" s="12"/>
      <c r="F138" s="13"/>
      <c r="G138" s="13"/>
      <c r="H138" s="13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3.5" customHeight="1">
      <c r="A139" s="12"/>
      <c r="B139" s="12"/>
      <c r="C139" s="12"/>
      <c r="D139" s="12"/>
      <c r="E139" s="12"/>
      <c r="F139" s="13"/>
      <c r="G139" s="13"/>
      <c r="H139" s="13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3.5" customHeight="1">
      <c r="A140" s="12"/>
      <c r="B140" s="12"/>
      <c r="C140" s="12"/>
      <c r="D140" s="12"/>
      <c r="E140" s="12"/>
      <c r="F140" s="13"/>
      <c r="G140" s="13"/>
      <c r="H140" s="13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3.5" customHeight="1">
      <c r="A141" s="12"/>
      <c r="B141" s="12"/>
      <c r="C141" s="12"/>
      <c r="D141" s="12"/>
      <c r="E141" s="12"/>
      <c r="F141" s="13"/>
      <c r="G141" s="13"/>
      <c r="H141" s="13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3.5" customHeight="1">
      <c r="A142" s="12"/>
      <c r="B142" s="12"/>
      <c r="C142" s="12"/>
      <c r="D142" s="12"/>
      <c r="E142" s="12"/>
      <c r="F142" s="13"/>
      <c r="G142" s="13"/>
      <c r="H142" s="13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3.5" customHeight="1">
      <c r="A143" s="12"/>
      <c r="B143" s="12"/>
      <c r="C143" s="12"/>
      <c r="D143" s="12"/>
      <c r="E143" s="12"/>
      <c r="F143" s="13"/>
      <c r="G143" s="13"/>
      <c r="H143" s="13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3.5" customHeight="1">
      <c r="A144" s="12"/>
      <c r="B144" s="12"/>
      <c r="C144" s="12"/>
      <c r="D144" s="12"/>
      <c r="E144" s="12"/>
      <c r="F144" s="13"/>
      <c r="G144" s="13"/>
      <c r="H144" s="13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3.5" customHeight="1">
      <c r="A145" s="12"/>
      <c r="B145" s="12"/>
      <c r="C145" s="12"/>
      <c r="D145" s="12"/>
      <c r="E145" s="12"/>
      <c r="F145" s="13"/>
      <c r="G145" s="13"/>
      <c r="H145" s="13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3.5" customHeight="1">
      <c r="A146" s="12"/>
      <c r="B146" s="12"/>
      <c r="C146" s="12"/>
      <c r="D146" s="12"/>
      <c r="E146" s="12"/>
      <c r="F146" s="13"/>
      <c r="G146" s="13"/>
      <c r="H146" s="13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3.5" customHeight="1">
      <c r="A147" s="12"/>
      <c r="B147" s="12"/>
      <c r="C147" s="12"/>
      <c r="D147" s="12"/>
      <c r="E147" s="12"/>
      <c r="F147" s="13"/>
      <c r="G147" s="13"/>
      <c r="H147" s="13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3.5" customHeight="1">
      <c r="A148" s="12"/>
      <c r="B148" s="12"/>
      <c r="C148" s="12"/>
      <c r="D148" s="12"/>
      <c r="E148" s="12"/>
      <c r="F148" s="13"/>
      <c r="G148" s="13"/>
      <c r="H148" s="13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3.5" customHeight="1">
      <c r="A149" s="12"/>
      <c r="B149" s="12"/>
      <c r="C149" s="12"/>
      <c r="D149" s="12"/>
      <c r="E149" s="12"/>
      <c r="F149" s="13"/>
      <c r="G149" s="13"/>
      <c r="H149" s="13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3.5" customHeight="1">
      <c r="A150" s="12"/>
      <c r="B150" s="12"/>
      <c r="C150" s="12"/>
      <c r="D150" s="12"/>
      <c r="E150" s="12"/>
      <c r="F150" s="13"/>
      <c r="G150" s="13"/>
      <c r="H150" s="13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3.5" customHeight="1">
      <c r="A151" s="12"/>
      <c r="B151" s="12"/>
      <c r="C151" s="12"/>
      <c r="D151" s="12"/>
      <c r="E151" s="12"/>
      <c r="F151" s="13"/>
      <c r="G151" s="13"/>
      <c r="H151" s="13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3.5" customHeight="1">
      <c r="A152" s="12"/>
      <c r="B152" s="12"/>
      <c r="C152" s="12"/>
      <c r="D152" s="12"/>
      <c r="E152" s="12"/>
      <c r="F152" s="13"/>
      <c r="G152" s="13"/>
      <c r="H152" s="13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3.5" customHeight="1">
      <c r="A153" s="12"/>
      <c r="B153" s="12"/>
      <c r="C153" s="12"/>
      <c r="D153" s="12"/>
      <c r="E153" s="12"/>
      <c r="F153" s="13"/>
      <c r="G153" s="13"/>
      <c r="H153" s="13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3.5" customHeight="1">
      <c r="A154" s="12"/>
      <c r="B154" s="12"/>
      <c r="C154" s="12"/>
      <c r="D154" s="12"/>
      <c r="E154" s="12"/>
      <c r="F154" s="13"/>
      <c r="G154" s="13"/>
      <c r="H154" s="13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5"/>
      <c r="V154" s="12"/>
      <c r="W154" s="12"/>
      <c r="X154" s="12"/>
      <c r="Y154" s="12"/>
      <c r="Z154" s="12"/>
    </row>
    <row r="155" ht="13.5" customHeight="1">
      <c r="A155" s="12"/>
      <c r="B155" s="12"/>
      <c r="C155" s="12"/>
      <c r="D155" s="12"/>
      <c r="E155" s="12"/>
      <c r="F155" s="13"/>
      <c r="G155" s="13"/>
      <c r="H155" s="13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5"/>
      <c r="V155" s="12"/>
      <c r="W155" s="12"/>
      <c r="X155" s="12"/>
      <c r="Y155" s="12"/>
      <c r="Z155" s="12"/>
    </row>
    <row r="156" ht="13.5" customHeight="1">
      <c r="A156" s="12"/>
      <c r="B156" s="12"/>
      <c r="C156" s="12"/>
      <c r="D156" s="12"/>
      <c r="E156" s="12"/>
      <c r="F156" s="13"/>
      <c r="G156" s="13"/>
      <c r="H156" s="13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5"/>
      <c r="V156" s="12"/>
      <c r="W156" s="12"/>
      <c r="X156" s="12"/>
      <c r="Y156" s="12"/>
      <c r="Z156" s="12"/>
    </row>
    <row r="157" ht="13.5" customHeight="1">
      <c r="A157" s="12"/>
      <c r="B157" s="12"/>
      <c r="C157" s="12"/>
      <c r="D157" s="12"/>
      <c r="E157" s="12"/>
      <c r="F157" s="13"/>
      <c r="G157" s="13"/>
      <c r="H157" s="13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5"/>
      <c r="V157" s="12"/>
      <c r="W157" s="12"/>
      <c r="X157" s="12"/>
      <c r="Y157" s="12"/>
      <c r="Z157" s="12"/>
    </row>
    <row r="158" ht="13.5" customHeight="1">
      <c r="A158" s="12"/>
      <c r="B158" s="12"/>
      <c r="C158" s="12"/>
      <c r="D158" s="12"/>
      <c r="E158" s="12"/>
      <c r="F158" s="13"/>
      <c r="G158" s="13"/>
      <c r="H158" s="13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5"/>
      <c r="V158" s="12"/>
      <c r="W158" s="12"/>
      <c r="X158" s="12"/>
      <c r="Y158" s="12"/>
      <c r="Z158" s="12"/>
    </row>
    <row r="159" ht="13.5" customHeight="1">
      <c r="A159" s="12"/>
      <c r="B159" s="12"/>
      <c r="C159" s="12"/>
      <c r="D159" s="12"/>
      <c r="E159" s="12"/>
      <c r="F159" s="13"/>
      <c r="G159" s="13"/>
      <c r="H159" s="13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5"/>
      <c r="V159" s="12"/>
      <c r="W159" s="12"/>
      <c r="X159" s="12"/>
      <c r="Y159" s="12"/>
      <c r="Z159" s="12"/>
    </row>
    <row r="160" ht="13.5" customHeight="1">
      <c r="A160" s="12"/>
      <c r="B160" s="12"/>
      <c r="C160" s="12"/>
      <c r="D160" s="12"/>
      <c r="E160" s="12"/>
      <c r="F160" s="13"/>
      <c r="G160" s="13"/>
      <c r="H160" s="13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5"/>
      <c r="V160" s="12"/>
      <c r="W160" s="12"/>
      <c r="X160" s="12"/>
      <c r="Y160" s="12"/>
      <c r="Z160" s="12"/>
    </row>
    <row r="161" ht="13.5" customHeight="1">
      <c r="A161" s="12"/>
      <c r="B161" s="12"/>
      <c r="C161" s="12"/>
      <c r="D161" s="12"/>
      <c r="E161" s="12"/>
      <c r="F161" s="13"/>
      <c r="G161" s="13"/>
      <c r="H161" s="13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5"/>
      <c r="V161" s="12"/>
      <c r="W161" s="12"/>
      <c r="X161" s="12"/>
      <c r="Y161" s="12"/>
      <c r="Z161" s="12"/>
    </row>
    <row r="162" ht="13.5" customHeight="1">
      <c r="A162" s="12"/>
      <c r="B162" s="12"/>
      <c r="C162" s="12"/>
      <c r="D162" s="12"/>
      <c r="E162" s="12"/>
      <c r="F162" s="13"/>
      <c r="G162" s="13"/>
      <c r="H162" s="13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5"/>
      <c r="V162" s="12"/>
      <c r="W162" s="12"/>
      <c r="X162" s="12"/>
      <c r="Y162" s="12"/>
      <c r="Z162" s="12"/>
    </row>
    <row r="163" ht="13.5" customHeight="1">
      <c r="A163" s="12"/>
      <c r="B163" s="12"/>
      <c r="C163" s="12"/>
      <c r="D163" s="12"/>
      <c r="E163" s="12"/>
      <c r="F163" s="13"/>
      <c r="G163" s="13"/>
      <c r="H163" s="13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5"/>
      <c r="V163" s="12"/>
      <c r="W163" s="12"/>
      <c r="X163" s="12"/>
      <c r="Y163" s="12"/>
      <c r="Z163" s="12"/>
    </row>
    <row r="164" ht="13.5" customHeight="1">
      <c r="A164" s="12"/>
      <c r="B164" s="12"/>
      <c r="C164" s="12"/>
      <c r="D164" s="12"/>
      <c r="E164" s="12"/>
      <c r="F164" s="13"/>
      <c r="G164" s="13"/>
      <c r="H164" s="13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5"/>
      <c r="V164" s="12"/>
      <c r="W164" s="12"/>
      <c r="X164" s="12"/>
      <c r="Y164" s="12"/>
      <c r="Z164" s="12"/>
    </row>
    <row r="165" ht="13.5" customHeight="1">
      <c r="A165" s="12"/>
      <c r="B165" s="12"/>
      <c r="C165" s="12"/>
      <c r="D165" s="12"/>
      <c r="E165" s="12"/>
      <c r="F165" s="13"/>
      <c r="G165" s="13"/>
      <c r="H165" s="13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5"/>
      <c r="V165" s="12"/>
      <c r="W165" s="12"/>
      <c r="X165" s="12"/>
      <c r="Y165" s="12"/>
      <c r="Z165" s="12"/>
    </row>
    <row r="166" ht="13.5" customHeight="1">
      <c r="A166" s="12"/>
      <c r="B166" s="12"/>
      <c r="C166" s="12"/>
      <c r="D166" s="12"/>
      <c r="E166" s="12"/>
      <c r="F166" s="13"/>
      <c r="G166" s="13"/>
      <c r="H166" s="13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5"/>
      <c r="V166" s="12"/>
      <c r="W166" s="12"/>
      <c r="X166" s="12"/>
      <c r="Y166" s="12"/>
      <c r="Z166" s="12"/>
    </row>
    <row r="167" ht="13.5" customHeight="1">
      <c r="A167" s="12"/>
      <c r="B167" s="12"/>
      <c r="C167" s="12"/>
      <c r="D167" s="12"/>
      <c r="E167" s="12"/>
      <c r="F167" s="13"/>
      <c r="G167" s="13"/>
      <c r="H167" s="13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5"/>
      <c r="V167" s="12"/>
      <c r="W167" s="12"/>
      <c r="X167" s="12"/>
      <c r="Y167" s="12"/>
      <c r="Z167" s="12"/>
    </row>
    <row r="168" ht="13.5" customHeight="1">
      <c r="A168" s="12"/>
      <c r="B168" s="12"/>
      <c r="C168" s="12"/>
      <c r="D168" s="12"/>
      <c r="E168" s="12"/>
      <c r="F168" s="13"/>
      <c r="G168" s="13"/>
      <c r="H168" s="13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5"/>
      <c r="V168" s="12"/>
      <c r="W168" s="12"/>
      <c r="X168" s="12"/>
      <c r="Y168" s="12"/>
      <c r="Z168" s="12"/>
    </row>
    <row r="169" ht="13.5" customHeight="1">
      <c r="A169" s="12"/>
      <c r="B169" s="12"/>
      <c r="C169" s="12"/>
      <c r="D169" s="12"/>
      <c r="E169" s="12"/>
      <c r="F169" s="13"/>
      <c r="G169" s="13"/>
      <c r="H169" s="13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5"/>
      <c r="V169" s="12"/>
      <c r="W169" s="12"/>
      <c r="X169" s="12"/>
      <c r="Y169" s="12"/>
      <c r="Z169" s="12"/>
    </row>
    <row r="170" ht="13.5" customHeight="1">
      <c r="A170" s="12"/>
      <c r="B170" s="12"/>
      <c r="C170" s="12"/>
      <c r="D170" s="12"/>
      <c r="E170" s="12"/>
      <c r="F170" s="13"/>
      <c r="G170" s="13"/>
      <c r="H170" s="13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5"/>
      <c r="V170" s="12"/>
      <c r="W170" s="12"/>
      <c r="X170" s="12"/>
      <c r="Y170" s="12"/>
      <c r="Z170" s="12"/>
    </row>
    <row r="171" ht="13.5" customHeight="1">
      <c r="A171" s="12"/>
      <c r="B171" s="12"/>
      <c r="C171" s="12"/>
      <c r="D171" s="12"/>
      <c r="E171" s="12"/>
      <c r="F171" s="13"/>
      <c r="G171" s="13"/>
      <c r="H171" s="13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5"/>
      <c r="V171" s="12"/>
      <c r="W171" s="12"/>
      <c r="X171" s="12"/>
      <c r="Y171" s="12"/>
      <c r="Z171" s="12"/>
    </row>
    <row r="172" ht="13.5" customHeight="1">
      <c r="A172" s="12"/>
      <c r="B172" s="12"/>
      <c r="C172" s="12"/>
      <c r="D172" s="12"/>
      <c r="E172" s="12"/>
      <c r="F172" s="13"/>
      <c r="G172" s="13"/>
      <c r="H172" s="13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5"/>
      <c r="V172" s="12"/>
      <c r="W172" s="12"/>
      <c r="X172" s="12"/>
      <c r="Y172" s="12"/>
      <c r="Z172" s="12"/>
    </row>
    <row r="173" ht="13.5" customHeight="1">
      <c r="A173" s="12"/>
      <c r="B173" s="12"/>
      <c r="C173" s="12"/>
      <c r="D173" s="12"/>
      <c r="E173" s="12"/>
      <c r="F173" s="13"/>
      <c r="G173" s="13"/>
      <c r="H173" s="13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5"/>
      <c r="V173" s="12"/>
      <c r="W173" s="12"/>
      <c r="X173" s="12"/>
      <c r="Y173" s="12"/>
      <c r="Z173" s="12"/>
    </row>
    <row r="174" ht="13.5" customHeight="1">
      <c r="A174" s="12"/>
      <c r="B174" s="12"/>
      <c r="C174" s="12"/>
      <c r="D174" s="12"/>
      <c r="E174" s="12"/>
      <c r="F174" s="13"/>
      <c r="G174" s="13"/>
      <c r="H174" s="13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5"/>
      <c r="V174" s="12"/>
      <c r="W174" s="12"/>
      <c r="X174" s="12"/>
      <c r="Y174" s="12"/>
      <c r="Z174" s="12"/>
    </row>
    <row r="175" ht="13.5" customHeight="1">
      <c r="A175" s="12"/>
      <c r="B175" s="12"/>
      <c r="C175" s="12"/>
      <c r="D175" s="12"/>
      <c r="E175" s="12"/>
      <c r="F175" s="13"/>
      <c r="G175" s="13"/>
      <c r="H175" s="13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5"/>
      <c r="V175" s="12"/>
      <c r="W175" s="12"/>
      <c r="X175" s="12"/>
      <c r="Y175" s="12"/>
      <c r="Z175" s="12"/>
    </row>
    <row r="176" ht="13.5" customHeight="1">
      <c r="A176" s="12"/>
      <c r="B176" s="12"/>
      <c r="C176" s="12"/>
      <c r="D176" s="12"/>
      <c r="E176" s="12"/>
      <c r="F176" s="13"/>
      <c r="G176" s="13"/>
      <c r="H176" s="13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5"/>
      <c r="V176" s="12"/>
      <c r="W176" s="12"/>
      <c r="X176" s="12"/>
      <c r="Y176" s="12"/>
      <c r="Z176" s="12"/>
    </row>
    <row r="177" ht="13.5" customHeight="1">
      <c r="A177" s="12"/>
      <c r="B177" s="12"/>
      <c r="C177" s="12"/>
      <c r="D177" s="12"/>
      <c r="E177" s="12"/>
      <c r="F177" s="13"/>
      <c r="G177" s="13"/>
      <c r="H177" s="13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5"/>
      <c r="V177" s="12"/>
      <c r="W177" s="12"/>
      <c r="X177" s="12"/>
      <c r="Y177" s="12"/>
      <c r="Z177" s="12"/>
    </row>
    <row r="178" ht="13.5" customHeight="1">
      <c r="A178" s="12"/>
      <c r="B178" s="12"/>
      <c r="C178" s="12"/>
      <c r="D178" s="12"/>
      <c r="E178" s="12"/>
      <c r="F178" s="13"/>
      <c r="G178" s="13"/>
      <c r="H178" s="13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5"/>
      <c r="V178" s="12"/>
      <c r="W178" s="12"/>
      <c r="X178" s="12"/>
      <c r="Y178" s="12"/>
      <c r="Z178" s="12"/>
    </row>
    <row r="179" ht="13.5" customHeight="1">
      <c r="A179" s="12"/>
      <c r="B179" s="12"/>
      <c r="C179" s="12"/>
      <c r="D179" s="12"/>
      <c r="E179" s="12"/>
      <c r="F179" s="13"/>
      <c r="G179" s="13"/>
      <c r="H179" s="13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5"/>
      <c r="V179" s="12"/>
      <c r="W179" s="12"/>
      <c r="X179" s="12"/>
      <c r="Y179" s="12"/>
      <c r="Z179" s="12"/>
    </row>
    <row r="180" ht="13.5" customHeight="1">
      <c r="A180" s="12"/>
      <c r="B180" s="12"/>
      <c r="C180" s="12"/>
      <c r="D180" s="12"/>
      <c r="E180" s="12"/>
      <c r="F180" s="13"/>
      <c r="G180" s="13"/>
      <c r="H180" s="13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5"/>
      <c r="V180" s="12"/>
      <c r="W180" s="12"/>
      <c r="X180" s="12"/>
      <c r="Y180" s="12"/>
      <c r="Z180" s="12"/>
    </row>
    <row r="181" ht="13.5" customHeight="1">
      <c r="A181" s="12"/>
      <c r="B181" s="12"/>
      <c r="C181" s="12"/>
      <c r="D181" s="12"/>
      <c r="E181" s="12"/>
      <c r="F181" s="13"/>
      <c r="G181" s="13"/>
      <c r="H181" s="13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5"/>
      <c r="V181" s="12"/>
      <c r="W181" s="12"/>
      <c r="X181" s="12"/>
      <c r="Y181" s="12"/>
      <c r="Z181" s="12"/>
    </row>
    <row r="182" ht="13.5" customHeight="1">
      <c r="A182" s="12"/>
      <c r="B182" s="12"/>
      <c r="C182" s="12"/>
      <c r="D182" s="12"/>
      <c r="E182" s="12"/>
      <c r="F182" s="13"/>
      <c r="G182" s="13"/>
      <c r="H182" s="13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5"/>
      <c r="V182" s="12"/>
      <c r="W182" s="12"/>
      <c r="X182" s="12"/>
      <c r="Y182" s="12"/>
      <c r="Z182" s="12"/>
    </row>
    <row r="183" ht="13.5" customHeight="1">
      <c r="A183" s="12"/>
      <c r="B183" s="12"/>
      <c r="C183" s="12"/>
      <c r="D183" s="12"/>
      <c r="E183" s="12"/>
      <c r="F183" s="13"/>
      <c r="G183" s="13"/>
      <c r="H183" s="13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5"/>
      <c r="V183" s="12"/>
      <c r="W183" s="12"/>
      <c r="X183" s="12"/>
      <c r="Y183" s="12"/>
      <c r="Z183" s="12"/>
    </row>
    <row r="184" ht="13.5" customHeight="1">
      <c r="A184" s="12"/>
      <c r="B184" s="12"/>
      <c r="C184" s="12"/>
      <c r="D184" s="12"/>
      <c r="E184" s="12"/>
      <c r="F184" s="13"/>
      <c r="G184" s="13"/>
      <c r="H184" s="13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5"/>
      <c r="V184" s="12"/>
      <c r="W184" s="12"/>
      <c r="X184" s="12"/>
      <c r="Y184" s="12"/>
      <c r="Z184" s="12"/>
    </row>
    <row r="185" ht="13.5" customHeight="1">
      <c r="A185" s="12"/>
      <c r="B185" s="12"/>
      <c r="C185" s="12"/>
      <c r="D185" s="12"/>
      <c r="E185" s="12"/>
      <c r="F185" s="13"/>
      <c r="G185" s="13"/>
      <c r="H185" s="13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5"/>
      <c r="V185" s="12"/>
      <c r="W185" s="12"/>
      <c r="X185" s="12"/>
      <c r="Y185" s="12"/>
      <c r="Z185" s="12"/>
    </row>
    <row r="186" ht="13.5" customHeight="1">
      <c r="A186" s="12"/>
      <c r="B186" s="12"/>
      <c r="C186" s="12"/>
      <c r="D186" s="12"/>
      <c r="E186" s="12"/>
      <c r="F186" s="13"/>
      <c r="G186" s="13"/>
      <c r="H186" s="13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5"/>
      <c r="V186" s="12"/>
      <c r="W186" s="12"/>
      <c r="X186" s="12"/>
      <c r="Y186" s="12"/>
      <c r="Z186" s="12"/>
    </row>
    <row r="187" ht="13.5" customHeight="1">
      <c r="A187" s="12"/>
      <c r="B187" s="12"/>
      <c r="C187" s="12"/>
      <c r="D187" s="12"/>
      <c r="E187" s="12"/>
      <c r="F187" s="13"/>
      <c r="G187" s="13"/>
      <c r="H187" s="13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5"/>
      <c r="V187" s="12"/>
      <c r="W187" s="12"/>
      <c r="X187" s="12"/>
      <c r="Y187" s="12"/>
      <c r="Z187" s="12"/>
    </row>
    <row r="188" ht="13.5" customHeight="1">
      <c r="A188" s="12"/>
      <c r="B188" s="12"/>
      <c r="C188" s="12"/>
      <c r="D188" s="12"/>
      <c r="E188" s="12"/>
      <c r="F188" s="13"/>
      <c r="G188" s="13"/>
      <c r="H188" s="13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5"/>
      <c r="V188" s="12"/>
      <c r="W188" s="12"/>
      <c r="X188" s="12"/>
      <c r="Y188" s="12"/>
      <c r="Z188" s="12"/>
    </row>
    <row r="189" ht="13.5" customHeight="1">
      <c r="A189" s="12"/>
      <c r="B189" s="12"/>
      <c r="C189" s="12"/>
      <c r="D189" s="12"/>
      <c r="E189" s="12"/>
      <c r="F189" s="13"/>
      <c r="G189" s="13"/>
      <c r="H189" s="13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5"/>
      <c r="V189" s="12"/>
      <c r="W189" s="12"/>
      <c r="X189" s="12"/>
      <c r="Y189" s="12"/>
      <c r="Z189" s="12"/>
    </row>
    <row r="190" ht="13.5" customHeight="1">
      <c r="A190" s="12"/>
      <c r="B190" s="12"/>
      <c r="C190" s="12"/>
      <c r="D190" s="12"/>
      <c r="E190" s="12"/>
      <c r="F190" s="13"/>
      <c r="G190" s="13"/>
      <c r="H190" s="13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5"/>
      <c r="V190" s="12"/>
      <c r="W190" s="12"/>
      <c r="X190" s="12"/>
      <c r="Y190" s="12"/>
      <c r="Z190" s="12"/>
    </row>
    <row r="191" ht="13.5" customHeight="1">
      <c r="A191" s="12"/>
      <c r="B191" s="12"/>
      <c r="C191" s="12"/>
      <c r="D191" s="12"/>
      <c r="E191" s="12"/>
      <c r="F191" s="13"/>
      <c r="G191" s="13"/>
      <c r="H191" s="13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5"/>
      <c r="V191" s="12"/>
      <c r="W191" s="12"/>
      <c r="X191" s="12"/>
      <c r="Y191" s="12"/>
      <c r="Z191" s="12"/>
    </row>
    <row r="192" ht="13.5" customHeight="1">
      <c r="A192" s="12"/>
      <c r="B192" s="12"/>
      <c r="C192" s="12"/>
      <c r="D192" s="12"/>
      <c r="E192" s="12"/>
      <c r="F192" s="13"/>
      <c r="G192" s="13"/>
      <c r="H192" s="13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5"/>
      <c r="V192" s="12"/>
      <c r="W192" s="12"/>
      <c r="X192" s="12"/>
      <c r="Y192" s="12"/>
      <c r="Z192" s="12"/>
    </row>
    <row r="193" ht="13.5" customHeight="1">
      <c r="A193" s="12"/>
      <c r="B193" s="12"/>
      <c r="C193" s="12"/>
      <c r="D193" s="12"/>
      <c r="E193" s="12"/>
      <c r="F193" s="13"/>
      <c r="G193" s="13"/>
      <c r="H193" s="13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5"/>
      <c r="V193" s="12"/>
      <c r="W193" s="12"/>
      <c r="X193" s="12"/>
      <c r="Y193" s="12"/>
      <c r="Z193" s="12"/>
    </row>
    <row r="194" ht="13.5" customHeight="1">
      <c r="A194" s="12"/>
      <c r="B194" s="12"/>
      <c r="C194" s="12"/>
      <c r="D194" s="12"/>
      <c r="E194" s="12"/>
      <c r="F194" s="13"/>
      <c r="G194" s="13"/>
      <c r="H194" s="13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5"/>
      <c r="V194" s="12"/>
      <c r="W194" s="12"/>
      <c r="X194" s="12"/>
      <c r="Y194" s="12"/>
      <c r="Z194" s="12"/>
    </row>
    <row r="195" ht="13.5" customHeight="1">
      <c r="A195" s="12"/>
      <c r="B195" s="12"/>
      <c r="C195" s="12"/>
      <c r="D195" s="12"/>
      <c r="E195" s="12"/>
      <c r="F195" s="13"/>
      <c r="G195" s="13"/>
      <c r="H195" s="13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5"/>
      <c r="V195" s="12"/>
      <c r="W195" s="12"/>
      <c r="X195" s="12"/>
      <c r="Y195" s="12"/>
      <c r="Z195" s="12"/>
    </row>
    <row r="196" ht="13.5" customHeight="1">
      <c r="A196" s="12"/>
      <c r="B196" s="12"/>
      <c r="C196" s="12"/>
      <c r="D196" s="12"/>
      <c r="E196" s="12"/>
      <c r="F196" s="13"/>
      <c r="G196" s="13"/>
      <c r="H196" s="13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5"/>
      <c r="V196" s="12"/>
      <c r="W196" s="12"/>
      <c r="X196" s="12"/>
      <c r="Y196" s="12"/>
      <c r="Z196" s="12"/>
    </row>
    <row r="197" ht="13.5" customHeight="1">
      <c r="A197" s="12"/>
      <c r="B197" s="12"/>
      <c r="C197" s="12"/>
      <c r="D197" s="12"/>
      <c r="E197" s="12"/>
      <c r="F197" s="13"/>
      <c r="G197" s="13"/>
      <c r="H197" s="13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5"/>
      <c r="V197" s="12"/>
      <c r="W197" s="12"/>
      <c r="X197" s="12"/>
      <c r="Y197" s="12"/>
      <c r="Z197" s="12"/>
    </row>
    <row r="198" ht="13.5" customHeight="1">
      <c r="A198" s="12"/>
      <c r="B198" s="12"/>
      <c r="C198" s="12"/>
      <c r="D198" s="12"/>
      <c r="E198" s="12"/>
      <c r="F198" s="13"/>
      <c r="G198" s="13"/>
      <c r="H198" s="13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5"/>
      <c r="V198" s="12"/>
      <c r="W198" s="12"/>
      <c r="X198" s="12"/>
      <c r="Y198" s="12"/>
      <c r="Z198" s="12"/>
    </row>
    <row r="199" ht="13.5" customHeight="1">
      <c r="A199" s="12"/>
      <c r="B199" s="12"/>
      <c r="C199" s="12"/>
      <c r="D199" s="12"/>
      <c r="E199" s="12"/>
      <c r="F199" s="13"/>
      <c r="G199" s="13"/>
      <c r="H199" s="13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5"/>
      <c r="V199" s="12"/>
      <c r="W199" s="12"/>
      <c r="X199" s="12"/>
      <c r="Y199" s="12"/>
      <c r="Z199" s="12"/>
    </row>
    <row r="200" ht="13.5" customHeight="1">
      <c r="A200" s="12"/>
      <c r="B200" s="12"/>
      <c r="C200" s="12"/>
      <c r="D200" s="12"/>
      <c r="E200" s="12"/>
      <c r="F200" s="13"/>
      <c r="G200" s="13"/>
      <c r="H200" s="13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5"/>
      <c r="V200" s="12"/>
      <c r="W200" s="12"/>
      <c r="X200" s="12"/>
      <c r="Y200" s="12"/>
      <c r="Z200" s="12"/>
    </row>
    <row r="201" ht="13.5" customHeight="1">
      <c r="A201" s="12"/>
      <c r="B201" s="12"/>
      <c r="C201" s="12"/>
      <c r="D201" s="12"/>
      <c r="E201" s="12"/>
      <c r="F201" s="13"/>
      <c r="G201" s="13"/>
      <c r="H201" s="13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5"/>
      <c r="V201" s="12"/>
      <c r="W201" s="12"/>
      <c r="X201" s="12"/>
      <c r="Y201" s="12"/>
      <c r="Z201" s="12"/>
    </row>
    <row r="202" ht="13.5" customHeight="1">
      <c r="A202" s="12"/>
      <c r="B202" s="12"/>
      <c r="C202" s="12"/>
      <c r="D202" s="12"/>
      <c r="E202" s="12"/>
      <c r="F202" s="13"/>
      <c r="G202" s="13"/>
      <c r="H202" s="13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5"/>
      <c r="V202" s="12"/>
      <c r="W202" s="12"/>
      <c r="X202" s="12"/>
      <c r="Y202" s="12"/>
      <c r="Z202" s="12"/>
    </row>
    <row r="203" ht="13.5" customHeight="1">
      <c r="A203" s="12"/>
      <c r="B203" s="12"/>
      <c r="C203" s="12"/>
      <c r="D203" s="12"/>
      <c r="E203" s="12"/>
      <c r="F203" s="13"/>
      <c r="G203" s="13"/>
      <c r="H203" s="13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3.5" customHeight="1">
      <c r="A204" s="12"/>
      <c r="B204" s="12"/>
      <c r="C204" s="12"/>
      <c r="D204" s="12"/>
      <c r="E204" s="12"/>
      <c r="F204" s="13"/>
      <c r="G204" s="13"/>
      <c r="H204" s="13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3.5" customHeight="1">
      <c r="A205" s="12"/>
      <c r="B205" s="12"/>
      <c r="C205" s="12"/>
      <c r="D205" s="12"/>
      <c r="E205" s="12"/>
      <c r="F205" s="13"/>
      <c r="G205" s="13"/>
      <c r="H205" s="13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3.5" customHeight="1">
      <c r="A206" s="12"/>
      <c r="B206" s="12"/>
      <c r="C206" s="12"/>
      <c r="D206" s="12"/>
      <c r="E206" s="12"/>
      <c r="F206" s="13"/>
      <c r="G206" s="13"/>
      <c r="H206" s="13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3.5" customHeight="1">
      <c r="A207" s="12"/>
      <c r="B207" s="12"/>
      <c r="C207" s="12"/>
      <c r="D207" s="12"/>
      <c r="E207" s="12"/>
      <c r="F207" s="13"/>
      <c r="G207" s="13"/>
      <c r="H207" s="13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3.5" customHeight="1">
      <c r="A208" s="12"/>
      <c r="B208" s="12"/>
      <c r="C208" s="12"/>
      <c r="D208" s="12"/>
      <c r="E208" s="12"/>
      <c r="F208" s="13"/>
      <c r="G208" s="13"/>
      <c r="H208" s="13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3.5" customHeight="1">
      <c r="A209" s="12"/>
      <c r="B209" s="12"/>
      <c r="C209" s="12"/>
      <c r="D209" s="12"/>
      <c r="E209" s="12"/>
      <c r="F209" s="13"/>
      <c r="G209" s="13"/>
      <c r="H209" s="13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3.5" customHeight="1">
      <c r="A210" s="12"/>
      <c r="B210" s="12"/>
      <c r="C210" s="12"/>
      <c r="D210" s="12"/>
      <c r="E210" s="12"/>
      <c r="F210" s="13"/>
      <c r="G210" s="13"/>
      <c r="H210" s="13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3.5" customHeight="1">
      <c r="A211" s="12"/>
      <c r="B211" s="12"/>
      <c r="C211" s="12"/>
      <c r="D211" s="12"/>
      <c r="E211" s="12"/>
      <c r="F211" s="13"/>
      <c r="G211" s="13"/>
      <c r="H211" s="13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3.5" customHeight="1">
      <c r="A212" s="12"/>
      <c r="B212" s="12"/>
      <c r="C212" s="12"/>
      <c r="D212" s="12"/>
      <c r="E212" s="12"/>
      <c r="F212" s="13"/>
      <c r="G212" s="13"/>
      <c r="H212" s="13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3.5" customHeight="1">
      <c r="A213" s="12"/>
      <c r="B213" s="12"/>
      <c r="C213" s="12"/>
      <c r="D213" s="12"/>
      <c r="E213" s="12"/>
      <c r="F213" s="13"/>
      <c r="G213" s="13"/>
      <c r="H213" s="13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3.5" customHeight="1">
      <c r="A214" s="12"/>
      <c r="B214" s="12"/>
      <c r="C214" s="12"/>
      <c r="D214" s="12"/>
      <c r="E214" s="12"/>
      <c r="F214" s="13"/>
      <c r="G214" s="13"/>
      <c r="H214" s="13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3.5" customHeight="1">
      <c r="A215" s="12"/>
      <c r="B215" s="12"/>
      <c r="C215" s="12"/>
      <c r="D215" s="12"/>
      <c r="E215" s="12"/>
      <c r="F215" s="13"/>
      <c r="G215" s="13"/>
      <c r="H215" s="13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3.5" customHeight="1">
      <c r="A216" s="12"/>
      <c r="B216" s="12"/>
      <c r="C216" s="12"/>
      <c r="D216" s="12"/>
      <c r="E216" s="12"/>
      <c r="F216" s="13"/>
      <c r="G216" s="13"/>
      <c r="H216" s="13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3.5" customHeight="1">
      <c r="A217" s="12"/>
      <c r="B217" s="12"/>
      <c r="C217" s="12"/>
      <c r="D217" s="12"/>
      <c r="E217" s="12"/>
      <c r="F217" s="13"/>
      <c r="G217" s="13"/>
      <c r="H217" s="13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3.5" customHeight="1">
      <c r="A218" s="12"/>
      <c r="B218" s="12"/>
      <c r="C218" s="12"/>
      <c r="D218" s="12"/>
      <c r="E218" s="12"/>
      <c r="F218" s="13"/>
      <c r="G218" s="13"/>
      <c r="H218" s="13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3.5" customHeight="1">
      <c r="A219" s="12"/>
      <c r="B219" s="12"/>
      <c r="C219" s="12"/>
      <c r="D219" s="12"/>
      <c r="E219" s="12"/>
      <c r="F219" s="13"/>
      <c r="G219" s="13"/>
      <c r="H219" s="13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3.5" customHeight="1">
      <c r="A220" s="12"/>
      <c r="B220" s="12"/>
      <c r="C220" s="12"/>
      <c r="D220" s="12"/>
      <c r="E220" s="12"/>
      <c r="F220" s="13"/>
      <c r="G220" s="13"/>
      <c r="H220" s="13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3.5" customHeight="1">
      <c r="A221" s="12"/>
      <c r="B221" s="12"/>
      <c r="C221" s="12"/>
      <c r="D221" s="12"/>
      <c r="E221" s="12"/>
      <c r="F221" s="13"/>
      <c r="G221" s="13"/>
      <c r="H221" s="13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3.5" customHeight="1">
      <c r="A222" s="12"/>
      <c r="B222" s="12"/>
      <c r="C222" s="12"/>
      <c r="D222" s="12"/>
      <c r="E222" s="12"/>
      <c r="F222" s="13"/>
      <c r="G222" s="13"/>
      <c r="H222" s="13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3.5" customHeight="1">
      <c r="A223" s="12"/>
      <c r="B223" s="12"/>
      <c r="C223" s="12"/>
      <c r="D223" s="12"/>
      <c r="E223" s="12"/>
      <c r="F223" s="13"/>
      <c r="G223" s="13"/>
      <c r="H223" s="13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3.5" customHeight="1">
      <c r="A224" s="12"/>
      <c r="B224" s="12"/>
      <c r="C224" s="12"/>
      <c r="D224" s="12"/>
      <c r="E224" s="12"/>
      <c r="F224" s="13"/>
      <c r="G224" s="13"/>
      <c r="H224" s="13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3.5" customHeight="1">
      <c r="A225" s="12"/>
      <c r="B225" s="12"/>
      <c r="C225" s="12"/>
      <c r="D225" s="12"/>
      <c r="E225" s="12"/>
      <c r="F225" s="13"/>
      <c r="G225" s="13"/>
      <c r="H225" s="13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3.5" customHeight="1">
      <c r="A226" s="12"/>
      <c r="B226" s="12"/>
      <c r="C226" s="12"/>
      <c r="D226" s="12"/>
      <c r="E226" s="12"/>
      <c r="F226" s="13"/>
      <c r="G226" s="13"/>
      <c r="H226" s="13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3.5" customHeight="1">
      <c r="A227" s="12"/>
      <c r="B227" s="12"/>
      <c r="C227" s="12"/>
      <c r="D227" s="12"/>
      <c r="E227" s="12"/>
      <c r="F227" s="13"/>
      <c r="G227" s="13"/>
      <c r="H227" s="13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3.5" customHeight="1">
      <c r="A228" s="12"/>
      <c r="B228" s="12"/>
      <c r="C228" s="12"/>
      <c r="D228" s="12"/>
      <c r="E228" s="12"/>
      <c r="F228" s="13"/>
      <c r="G228" s="13"/>
      <c r="H228" s="13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3.5" customHeight="1">
      <c r="A229" s="12"/>
      <c r="B229" s="12"/>
      <c r="C229" s="12"/>
      <c r="D229" s="12"/>
      <c r="E229" s="12"/>
      <c r="F229" s="13"/>
      <c r="G229" s="13"/>
      <c r="H229" s="13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3.5" customHeight="1">
      <c r="A230" s="12"/>
      <c r="B230" s="12"/>
      <c r="C230" s="12"/>
      <c r="D230" s="12"/>
      <c r="E230" s="12"/>
      <c r="F230" s="13"/>
      <c r="G230" s="13"/>
      <c r="H230" s="13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3.5" customHeight="1">
      <c r="A231" s="12"/>
      <c r="B231" s="12"/>
      <c r="C231" s="12"/>
      <c r="D231" s="12"/>
      <c r="E231" s="12"/>
      <c r="F231" s="13"/>
      <c r="G231" s="13"/>
      <c r="H231" s="13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3.5" customHeight="1">
      <c r="A232" s="12"/>
      <c r="B232" s="12"/>
      <c r="C232" s="12"/>
      <c r="D232" s="12"/>
      <c r="E232" s="12"/>
      <c r="F232" s="13"/>
      <c r="G232" s="13"/>
      <c r="H232" s="13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3.5" customHeight="1">
      <c r="A233" s="12"/>
      <c r="B233" s="12"/>
      <c r="C233" s="12"/>
      <c r="D233" s="12"/>
      <c r="E233" s="12"/>
      <c r="F233" s="13"/>
      <c r="G233" s="13"/>
      <c r="H233" s="13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3.5" customHeight="1">
      <c r="A234" s="12"/>
      <c r="B234" s="12"/>
      <c r="C234" s="12"/>
      <c r="D234" s="12"/>
      <c r="E234" s="12"/>
      <c r="F234" s="13"/>
      <c r="G234" s="13"/>
      <c r="H234" s="13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3.5" customHeight="1">
      <c r="A235" s="12"/>
      <c r="B235" s="12"/>
      <c r="C235" s="12"/>
      <c r="D235" s="12"/>
      <c r="E235" s="12"/>
      <c r="F235" s="13"/>
      <c r="G235" s="13"/>
      <c r="H235" s="13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3.5" customHeight="1">
      <c r="A236" s="12"/>
      <c r="B236" s="12"/>
      <c r="C236" s="12"/>
      <c r="D236" s="12"/>
      <c r="E236" s="12"/>
      <c r="F236" s="13"/>
      <c r="G236" s="13"/>
      <c r="H236" s="13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3.5" customHeight="1">
      <c r="A237" s="12"/>
      <c r="B237" s="12"/>
      <c r="C237" s="12"/>
      <c r="D237" s="12"/>
      <c r="E237" s="12"/>
      <c r="F237" s="13"/>
      <c r="G237" s="13"/>
      <c r="H237" s="13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3.5" customHeight="1">
      <c r="A238" s="12"/>
      <c r="B238" s="12"/>
      <c r="C238" s="12"/>
      <c r="D238" s="12"/>
      <c r="E238" s="12"/>
      <c r="F238" s="13"/>
      <c r="G238" s="13"/>
      <c r="H238" s="13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3.5" customHeight="1">
      <c r="A239" s="12"/>
      <c r="B239" s="12"/>
      <c r="C239" s="12"/>
      <c r="D239" s="12"/>
      <c r="E239" s="12"/>
      <c r="F239" s="13"/>
      <c r="G239" s="13"/>
      <c r="H239" s="13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3.5" customHeight="1">
      <c r="A240" s="12"/>
      <c r="B240" s="12"/>
      <c r="C240" s="12"/>
      <c r="D240" s="12"/>
      <c r="E240" s="12"/>
      <c r="F240" s="13"/>
      <c r="G240" s="13"/>
      <c r="H240" s="13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3.5" customHeight="1">
      <c r="A241" s="12"/>
      <c r="B241" s="12"/>
      <c r="C241" s="12"/>
      <c r="D241" s="12"/>
      <c r="E241" s="12"/>
      <c r="F241" s="13"/>
      <c r="G241" s="13"/>
      <c r="H241" s="13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3.5" customHeight="1">
      <c r="A242" s="12"/>
      <c r="B242" s="12"/>
      <c r="C242" s="12"/>
      <c r="D242" s="12"/>
      <c r="E242" s="12"/>
      <c r="F242" s="13"/>
      <c r="G242" s="13"/>
      <c r="H242" s="13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3.5" customHeight="1">
      <c r="A243" s="12"/>
      <c r="B243" s="12"/>
      <c r="C243" s="12"/>
      <c r="D243" s="12"/>
      <c r="E243" s="12"/>
      <c r="F243" s="13"/>
      <c r="G243" s="13"/>
      <c r="H243" s="13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3.5" customHeight="1">
      <c r="A244" s="12"/>
      <c r="B244" s="12"/>
      <c r="C244" s="12"/>
      <c r="D244" s="12"/>
      <c r="E244" s="12"/>
      <c r="F244" s="13"/>
      <c r="G244" s="13"/>
      <c r="H244" s="13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3.5" customHeight="1">
      <c r="A245" s="12"/>
      <c r="B245" s="12"/>
      <c r="C245" s="12"/>
      <c r="D245" s="12"/>
      <c r="E245" s="12"/>
      <c r="F245" s="13"/>
      <c r="G245" s="13"/>
      <c r="H245" s="13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3.5" customHeight="1">
      <c r="A246" s="12"/>
      <c r="B246" s="12"/>
      <c r="C246" s="12"/>
      <c r="D246" s="12"/>
      <c r="E246" s="12"/>
      <c r="F246" s="13"/>
      <c r="G246" s="13"/>
      <c r="H246" s="13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3.5" customHeight="1">
      <c r="A247" s="12"/>
      <c r="B247" s="12"/>
      <c r="C247" s="12"/>
      <c r="D247" s="12"/>
      <c r="E247" s="12"/>
      <c r="F247" s="13"/>
      <c r="G247" s="13"/>
      <c r="H247" s="13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3.5" customHeight="1">
      <c r="A248" s="12"/>
      <c r="B248" s="12"/>
      <c r="C248" s="12"/>
      <c r="D248" s="12"/>
      <c r="E248" s="12"/>
      <c r="F248" s="13"/>
      <c r="G248" s="13"/>
      <c r="H248" s="13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3.5" customHeight="1">
      <c r="A249" s="12"/>
      <c r="B249" s="12"/>
      <c r="C249" s="12"/>
      <c r="D249" s="12"/>
      <c r="E249" s="12"/>
      <c r="F249" s="13"/>
      <c r="G249" s="13"/>
      <c r="H249" s="13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3.5" customHeight="1">
      <c r="A250" s="12"/>
      <c r="B250" s="12"/>
      <c r="C250" s="12"/>
      <c r="D250" s="12"/>
      <c r="E250" s="12"/>
      <c r="F250" s="13"/>
      <c r="G250" s="13"/>
      <c r="H250" s="13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3.5" customHeight="1">
      <c r="A251" s="12"/>
      <c r="B251" s="12"/>
      <c r="C251" s="12"/>
      <c r="D251" s="12"/>
      <c r="E251" s="12"/>
      <c r="F251" s="13"/>
      <c r="G251" s="13"/>
      <c r="H251" s="13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3.5" customHeight="1">
      <c r="A252" s="12"/>
      <c r="B252" s="12"/>
      <c r="C252" s="12"/>
      <c r="D252" s="12"/>
      <c r="E252" s="12"/>
      <c r="F252" s="13"/>
      <c r="G252" s="13"/>
      <c r="H252" s="13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3.5" customHeight="1">
      <c r="A253" s="12"/>
      <c r="B253" s="12"/>
      <c r="C253" s="12"/>
      <c r="D253" s="12"/>
      <c r="E253" s="12"/>
      <c r="F253" s="13"/>
      <c r="G253" s="13"/>
      <c r="H253" s="13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3.5" customHeight="1">
      <c r="A254" s="12"/>
      <c r="B254" s="12"/>
      <c r="C254" s="12"/>
      <c r="D254" s="12"/>
      <c r="E254" s="12"/>
      <c r="F254" s="13"/>
      <c r="G254" s="13"/>
      <c r="H254" s="13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3.5" customHeight="1">
      <c r="A255" s="12"/>
      <c r="B255" s="12"/>
      <c r="C255" s="12"/>
      <c r="D255" s="12"/>
      <c r="E255" s="12"/>
      <c r="F255" s="13"/>
      <c r="G255" s="13"/>
      <c r="H255" s="13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3.5" customHeight="1">
      <c r="A256" s="12"/>
      <c r="B256" s="12"/>
      <c r="C256" s="12"/>
      <c r="D256" s="12"/>
      <c r="E256" s="12"/>
      <c r="F256" s="13"/>
      <c r="G256" s="13"/>
      <c r="H256" s="13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3.5" customHeight="1">
      <c r="A257" s="12"/>
      <c r="B257" s="12"/>
      <c r="C257" s="12"/>
      <c r="D257" s="12"/>
      <c r="E257" s="12"/>
      <c r="F257" s="13"/>
      <c r="G257" s="13"/>
      <c r="H257" s="13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3.5" customHeight="1">
      <c r="A258" s="12"/>
      <c r="B258" s="12"/>
      <c r="C258" s="12"/>
      <c r="D258" s="12"/>
      <c r="E258" s="12"/>
      <c r="F258" s="13"/>
      <c r="G258" s="13"/>
      <c r="H258" s="13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3.5" customHeight="1">
      <c r="A259" s="12"/>
      <c r="B259" s="12"/>
      <c r="C259" s="12"/>
      <c r="D259" s="12"/>
      <c r="E259" s="12"/>
      <c r="F259" s="13"/>
      <c r="G259" s="13"/>
      <c r="H259" s="13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3.5" customHeight="1">
      <c r="A260" s="12"/>
      <c r="B260" s="12"/>
      <c r="C260" s="12"/>
      <c r="D260" s="12"/>
      <c r="E260" s="12"/>
      <c r="F260" s="13"/>
      <c r="G260" s="13"/>
      <c r="H260" s="13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3.5" customHeight="1">
      <c r="A261" s="12"/>
      <c r="B261" s="12"/>
      <c r="C261" s="12"/>
      <c r="D261" s="12"/>
      <c r="E261" s="12"/>
      <c r="F261" s="13"/>
      <c r="G261" s="13"/>
      <c r="H261" s="13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3.5" customHeight="1">
      <c r="A262" s="12"/>
      <c r="B262" s="12"/>
      <c r="C262" s="12"/>
      <c r="D262" s="12"/>
      <c r="E262" s="12"/>
      <c r="F262" s="13"/>
      <c r="G262" s="13"/>
      <c r="H262" s="13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3.5" customHeight="1">
      <c r="A263" s="12"/>
      <c r="B263" s="12"/>
      <c r="C263" s="12"/>
      <c r="D263" s="12"/>
      <c r="E263" s="12"/>
      <c r="F263" s="13"/>
      <c r="G263" s="13"/>
      <c r="H263" s="13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3.5" customHeight="1">
      <c r="A264" s="12"/>
      <c r="B264" s="12"/>
      <c r="C264" s="12"/>
      <c r="D264" s="12"/>
      <c r="E264" s="12"/>
      <c r="F264" s="13"/>
      <c r="G264" s="13"/>
      <c r="H264" s="13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3.5" customHeight="1">
      <c r="A265" s="12"/>
      <c r="B265" s="12"/>
      <c r="C265" s="12"/>
      <c r="D265" s="12"/>
      <c r="E265" s="12"/>
      <c r="F265" s="13"/>
      <c r="G265" s="13"/>
      <c r="H265" s="13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3.5" customHeight="1">
      <c r="A266" s="12"/>
      <c r="B266" s="12"/>
      <c r="C266" s="12"/>
      <c r="D266" s="12"/>
      <c r="E266" s="12"/>
      <c r="F266" s="13"/>
      <c r="G266" s="13"/>
      <c r="H266" s="13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3.5" customHeight="1">
      <c r="A267" s="12"/>
      <c r="B267" s="12"/>
      <c r="C267" s="12"/>
      <c r="D267" s="12"/>
      <c r="E267" s="12"/>
      <c r="F267" s="13"/>
      <c r="G267" s="13"/>
      <c r="H267" s="13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3.5" customHeight="1">
      <c r="A268" s="12"/>
      <c r="B268" s="12"/>
      <c r="C268" s="12"/>
      <c r="D268" s="12"/>
      <c r="E268" s="12"/>
      <c r="F268" s="13"/>
      <c r="G268" s="13"/>
      <c r="H268" s="13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3.5" customHeight="1">
      <c r="A269" s="12"/>
      <c r="B269" s="12"/>
      <c r="C269" s="12"/>
      <c r="D269" s="12"/>
      <c r="E269" s="12"/>
      <c r="F269" s="13"/>
      <c r="G269" s="13"/>
      <c r="H269" s="13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3.5" customHeight="1">
      <c r="A270" s="12"/>
      <c r="B270" s="12"/>
      <c r="C270" s="12"/>
      <c r="D270" s="12"/>
      <c r="E270" s="12"/>
      <c r="F270" s="13"/>
      <c r="G270" s="13"/>
      <c r="H270" s="13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3.5" customHeight="1">
      <c r="A271" s="12"/>
      <c r="B271" s="12"/>
      <c r="C271" s="12"/>
      <c r="D271" s="12"/>
      <c r="E271" s="12"/>
      <c r="F271" s="13"/>
      <c r="G271" s="13"/>
      <c r="H271" s="13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3.5" customHeight="1">
      <c r="A272" s="12"/>
      <c r="B272" s="12"/>
      <c r="C272" s="12"/>
      <c r="D272" s="12"/>
      <c r="E272" s="12"/>
      <c r="F272" s="13"/>
      <c r="G272" s="13"/>
      <c r="H272" s="13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3.5" customHeight="1">
      <c r="A273" s="12"/>
      <c r="B273" s="12"/>
      <c r="C273" s="12"/>
      <c r="D273" s="12"/>
      <c r="E273" s="12"/>
      <c r="F273" s="13"/>
      <c r="G273" s="13"/>
      <c r="H273" s="13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3.5" customHeight="1">
      <c r="A274" s="12"/>
      <c r="B274" s="12"/>
      <c r="C274" s="12"/>
      <c r="D274" s="12"/>
      <c r="E274" s="12"/>
      <c r="F274" s="13"/>
      <c r="G274" s="13"/>
      <c r="H274" s="13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3.5" customHeight="1">
      <c r="A275" s="12"/>
      <c r="B275" s="12"/>
      <c r="C275" s="12"/>
      <c r="D275" s="12"/>
      <c r="E275" s="12"/>
      <c r="F275" s="13"/>
      <c r="G275" s="13"/>
      <c r="H275" s="13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3.5" customHeight="1">
      <c r="A276" s="12"/>
      <c r="B276" s="12"/>
      <c r="C276" s="12"/>
      <c r="D276" s="12"/>
      <c r="E276" s="12"/>
      <c r="F276" s="13"/>
      <c r="G276" s="13"/>
      <c r="H276" s="13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3.5" customHeight="1">
      <c r="A277" s="12"/>
      <c r="B277" s="12"/>
      <c r="C277" s="12"/>
      <c r="D277" s="12"/>
      <c r="E277" s="12"/>
      <c r="F277" s="13"/>
      <c r="G277" s="13"/>
      <c r="H277" s="13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3.5" customHeight="1">
      <c r="A278" s="12"/>
      <c r="B278" s="12"/>
      <c r="C278" s="12"/>
      <c r="D278" s="12"/>
      <c r="E278" s="12"/>
      <c r="F278" s="13"/>
      <c r="G278" s="13"/>
      <c r="H278" s="13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3.5" customHeight="1">
      <c r="A279" s="12"/>
      <c r="B279" s="12"/>
      <c r="C279" s="12"/>
      <c r="D279" s="12"/>
      <c r="E279" s="12"/>
      <c r="F279" s="13"/>
      <c r="G279" s="13"/>
      <c r="H279" s="13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3.5" customHeight="1">
      <c r="A280" s="12"/>
      <c r="B280" s="12"/>
      <c r="C280" s="12"/>
      <c r="D280" s="12"/>
      <c r="E280" s="12"/>
      <c r="F280" s="13"/>
      <c r="G280" s="13"/>
      <c r="H280" s="13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3.5" customHeight="1">
      <c r="A281" s="12"/>
      <c r="B281" s="12"/>
      <c r="C281" s="12"/>
      <c r="D281" s="12"/>
      <c r="E281" s="12"/>
      <c r="F281" s="13"/>
      <c r="G281" s="13"/>
      <c r="H281" s="13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3.5" customHeight="1">
      <c r="A282" s="12"/>
      <c r="B282" s="12"/>
      <c r="C282" s="12"/>
      <c r="D282" s="12"/>
      <c r="E282" s="12"/>
      <c r="F282" s="13"/>
      <c r="G282" s="13"/>
      <c r="H282" s="13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3.5" customHeight="1">
      <c r="A283" s="12"/>
      <c r="B283" s="12"/>
      <c r="C283" s="12"/>
      <c r="D283" s="12"/>
      <c r="E283" s="12"/>
      <c r="F283" s="13"/>
      <c r="G283" s="13"/>
      <c r="H283" s="13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3.5" customHeight="1">
      <c r="A284" s="12"/>
      <c r="B284" s="12"/>
      <c r="C284" s="12"/>
      <c r="D284" s="12"/>
      <c r="E284" s="12"/>
      <c r="F284" s="13"/>
      <c r="G284" s="13"/>
      <c r="H284" s="13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3.5" customHeight="1">
      <c r="A285" s="12"/>
      <c r="B285" s="12"/>
      <c r="C285" s="12"/>
      <c r="D285" s="12"/>
      <c r="E285" s="12"/>
      <c r="F285" s="13"/>
      <c r="G285" s="13"/>
      <c r="H285" s="13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3.5" customHeight="1">
      <c r="A286" s="12"/>
      <c r="B286" s="12"/>
      <c r="C286" s="12"/>
      <c r="D286" s="12"/>
      <c r="E286" s="12"/>
      <c r="F286" s="13"/>
      <c r="G286" s="13"/>
      <c r="H286" s="13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3.5" customHeight="1">
      <c r="A287" s="12"/>
      <c r="B287" s="12"/>
      <c r="C287" s="12"/>
      <c r="D287" s="12"/>
      <c r="E287" s="12"/>
      <c r="F287" s="13"/>
      <c r="G287" s="13"/>
      <c r="H287" s="13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3.5" customHeight="1">
      <c r="A288" s="12"/>
      <c r="B288" s="12"/>
      <c r="C288" s="12"/>
      <c r="D288" s="12"/>
      <c r="E288" s="12"/>
      <c r="F288" s="13"/>
      <c r="G288" s="13"/>
      <c r="H288" s="13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3.5" customHeight="1">
      <c r="A289" s="12"/>
      <c r="B289" s="12"/>
      <c r="C289" s="12"/>
      <c r="D289" s="12"/>
      <c r="E289" s="12"/>
      <c r="F289" s="13"/>
      <c r="G289" s="13"/>
      <c r="H289" s="13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3.5" customHeight="1">
      <c r="A290" s="12"/>
      <c r="B290" s="12"/>
      <c r="C290" s="12"/>
      <c r="D290" s="12"/>
      <c r="E290" s="12"/>
      <c r="F290" s="13"/>
      <c r="G290" s="13"/>
      <c r="H290" s="13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3.5" customHeight="1">
      <c r="A291" s="12"/>
      <c r="B291" s="12"/>
      <c r="C291" s="12"/>
      <c r="D291" s="12"/>
      <c r="E291" s="12"/>
      <c r="F291" s="13"/>
      <c r="G291" s="13"/>
      <c r="H291" s="13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3.5" customHeight="1">
      <c r="A292" s="12"/>
      <c r="B292" s="12"/>
      <c r="C292" s="12"/>
      <c r="D292" s="12"/>
      <c r="E292" s="12"/>
      <c r="F292" s="13"/>
      <c r="G292" s="13"/>
      <c r="H292" s="13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3.5" customHeight="1">
      <c r="A293" s="12"/>
      <c r="B293" s="12"/>
      <c r="C293" s="12"/>
      <c r="D293" s="12"/>
      <c r="E293" s="12"/>
      <c r="F293" s="13"/>
      <c r="G293" s="13"/>
      <c r="H293" s="13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3.5" customHeight="1">
      <c r="A294" s="12"/>
      <c r="B294" s="12"/>
      <c r="C294" s="12"/>
      <c r="D294" s="12"/>
      <c r="E294" s="12"/>
      <c r="F294" s="13"/>
      <c r="G294" s="13"/>
      <c r="H294" s="13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3.5" customHeight="1">
      <c r="A295" s="12"/>
      <c r="B295" s="12"/>
      <c r="C295" s="12"/>
      <c r="D295" s="12"/>
      <c r="E295" s="12"/>
      <c r="F295" s="13"/>
      <c r="G295" s="13"/>
      <c r="H295" s="13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3.5" customHeight="1">
      <c r="A296" s="12"/>
      <c r="B296" s="12"/>
      <c r="C296" s="12"/>
      <c r="D296" s="12"/>
      <c r="E296" s="12"/>
      <c r="F296" s="13"/>
      <c r="G296" s="13"/>
      <c r="H296" s="13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3.5" customHeight="1">
      <c r="A297" s="12"/>
      <c r="B297" s="12"/>
      <c r="C297" s="12"/>
      <c r="D297" s="12"/>
      <c r="E297" s="12"/>
      <c r="F297" s="13"/>
      <c r="G297" s="13"/>
      <c r="H297" s="13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3.5" customHeight="1">
      <c r="A298" s="12"/>
      <c r="B298" s="12"/>
      <c r="C298" s="12"/>
      <c r="D298" s="12"/>
      <c r="E298" s="12"/>
      <c r="F298" s="13"/>
      <c r="G298" s="13"/>
      <c r="H298" s="13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3.5" customHeight="1">
      <c r="A299" s="12"/>
      <c r="B299" s="12"/>
      <c r="C299" s="12"/>
      <c r="D299" s="12"/>
      <c r="E299" s="12"/>
      <c r="F299" s="13"/>
      <c r="G299" s="13"/>
      <c r="H299" s="13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3.5" customHeight="1">
      <c r="A300" s="12"/>
      <c r="B300" s="12"/>
      <c r="C300" s="12"/>
      <c r="D300" s="12"/>
      <c r="E300" s="12"/>
      <c r="F300" s="13"/>
      <c r="G300" s="13"/>
      <c r="H300" s="13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3.5" customHeight="1">
      <c r="A301" s="12"/>
      <c r="B301" s="12"/>
      <c r="C301" s="12"/>
      <c r="D301" s="12"/>
      <c r="E301" s="12"/>
      <c r="F301" s="13"/>
      <c r="G301" s="13"/>
      <c r="H301" s="13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3.5" customHeight="1">
      <c r="A302" s="12"/>
      <c r="B302" s="12"/>
      <c r="C302" s="12"/>
      <c r="D302" s="12"/>
      <c r="E302" s="12"/>
      <c r="F302" s="13"/>
      <c r="G302" s="13"/>
      <c r="H302" s="13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3.5" customHeight="1">
      <c r="A303" s="12"/>
      <c r="B303" s="12"/>
      <c r="C303" s="12"/>
      <c r="D303" s="12"/>
      <c r="E303" s="12"/>
      <c r="F303" s="13"/>
      <c r="G303" s="13"/>
      <c r="H303" s="13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3.5" customHeight="1">
      <c r="A304" s="12"/>
      <c r="B304" s="12"/>
      <c r="C304" s="12"/>
      <c r="D304" s="12"/>
      <c r="E304" s="12"/>
      <c r="F304" s="13"/>
      <c r="G304" s="13"/>
      <c r="H304" s="13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3.5" customHeight="1">
      <c r="A305" s="12"/>
      <c r="B305" s="12"/>
      <c r="C305" s="12"/>
      <c r="D305" s="12"/>
      <c r="E305" s="12"/>
      <c r="F305" s="13"/>
      <c r="G305" s="13"/>
      <c r="H305" s="13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3.5" customHeight="1">
      <c r="A306" s="12"/>
      <c r="B306" s="12"/>
      <c r="C306" s="12"/>
      <c r="D306" s="12"/>
      <c r="E306" s="12"/>
      <c r="F306" s="13"/>
      <c r="G306" s="13"/>
      <c r="H306" s="13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3.5" customHeight="1">
      <c r="A307" s="12"/>
      <c r="B307" s="12"/>
      <c r="C307" s="12"/>
      <c r="D307" s="12"/>
      <c r="E307" s="12"/>
      <c r="F307" s="13"/>
      <c r="G307" s="13"/>
      <c r="H307" s="13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3.5" customHeight="1">
      <c r="A308" s="12"/>
      <c r="B308" s="12"/>
      <c r="C308" s="12"/>
      <c r="D308" s="12"/>
      <c r="E308" s="12"/>
      <c r="F308" s="13"/>
      <c r="G308" s="13"/>
      <c r="H308" s="13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3.5" customHeight="1">
      <c r="A309" s="12"/>
      <c r="B309" s="12"/>
      <c r="C309" s="12"/>
      <c r="D309" s="12"/>
      <c r="E309" s="12"/>
      <c r="F309" s="13"/>
      <c r="G309" s="13"/>
      <c r="H309" s="13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3.5" customHeight="1">
      <c r="A310" s="12"/>
      <c r="B310" s="12"/>
      <c r="C310" s="12"/>
      <c r="D310" s="12"/>
      <c r="E310" s="12"/>
      <c r="F310" s="13"/>
      <c r="G310" s="13"/>
      <c r="H310" s="13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3.5" customHeight="1">
      <c r="A311" s="12"/>
      <c r="B311" s="12"/>
      <c r="C311" s="12"/>
      <c r="D311" s="12"/>
      <c r="E311" s="12"/>
      <c r="F311" s="13"/>
      <c r="G311" s="13"/>
      <c r="H311" s="13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3.5" customHeight="1">
      <c r="A312" s="12"/>
      <c r="B312" s="12"/>
      <c r="C312" s="12"/>
      <c r="D312" s="12"/>
      <c r="E312" s="12"/>
      <c r="F312" s="13"/>
      <c r="G312" s="13"/>
      <c r="H312" s="13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3.5" customHeight="1">
      <c r="A313" s="12"/>
      <c r="B313" s="12"/>
      <c r="C313" s="12"/>
      <c r="D313" s="12"/>
      <c r="E313" s="12"/>
      <c r="F313" s="13"/>
      <c r="G313" s="13"/>
      <c r="H313" s="13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3.5" customHeight="1">
      <c r="A314" s="12"/>
      <c r="B314" s="12"/>
      <c r="C314" s="12"/>
      <c r="D314" s="12"/>
      <c r="E314" s="12"/>
      <c r="F314" s="13"/>
      <c r="G314" s="13"/>
      <c r="H314" s="13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3.5" customHeight="1">
      <c r="A315" s="12"/>
      <c r="B315" s="12"/>
      <c r="C315" s="12"/>
      <c r="D315" s="12"/>
      <c r="E315" s="12"/>
      <c r="F315" s="13"/>
      <c r="G315" s="13"/>
      <c r="H315" s="13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3.5" customHeight="1">
      <c r="A316" s="12"/>
      <c r="B316" s="12"/>
      <c r="C316" s="12"/>
      <c r="D316" s="12"/>
      <c r="E316" s="12"/>
      <c r="F316" s="13"/>
      <c r="G316" s="13"/>
      <c r="H316" s="13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3.5" customHeight="1">
      <c r="A317" s="12"/>
      <c r="B317" s="12"/>
      <c r="C317" s="12"/>
      <c r="D317" s="12"/>
      <c r="E317" s="12"/>
      <c r="F317" s="13"/>
      <c r="G317" s="13"/>
      <c r="H317" s="13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3.5" customHeight="1">
      <c r="A318" s="12"/>
      <c r="B318" s="12"/>
      <c r="C318" s="12"/>
      <c r="D318" s="12"/>
      <c r="E318" s="12"/>
      <c r="F318" s="13"/>
      <c r="G318" s="13"/>
      <c r="H318" s="13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3.5" customHeight="1">
      <c r="A319" s="12"/>
      <c r="B319" s="12"/>
      <c r="C319" s="12"/>
      <c r="D319" s="12"/>
      <c r="E319" s="12"/>
      <c r="F319" s="13"/>
      <c r="G319" s="13"/>
      <c r="H319" s="13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3.5" customHeight="1">
      <c r="A320" s="12"/>
      <c r="B320" s="12"/>
      <c r="C320" s="12"/>
      <c r="D320" s="12"/>
      <c r="E320" s="12"/>
      <c r="F320" s="13"/>
      <c r="G320" s="13"/>
      <c r="H320" s="13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3.5" customHeight="1">
      <c r="A321" s="12"/>
      <c r="B321" s="12"/>
      <c r="C321" s="12"/>
      <c r="D321" s="12"/>
      <c r="E321" s="12"/>
      <c r="F321" s="13"/>
      <c r="G321" s="13"/>
      <c r="H321" s="13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3.5" customHeight="1">
      <c r="A322" s="12"/>
      <c r="B322" s="12"/>
      <c r="C322" s="12"/>
      <c r="D322" s="12"/>
      <c r="E322" s="12"/>
      <c r="F322" s="13"/>
      <c r="G322" s="13"/>
      <c r="H322" s="13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3.5" customHeight="1">
      <c r="A323" s="12"/>
      <c r="B323" s="12"/>
      <c r="C323" s="12"/>
      <c r="D323" s="12"/>
      <c r="E323" s="12"/>
      <c r="F323" s="13"/>
      <c r="G323" s="13"/>
      <c r="H323" s="13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3.5" customHeight="1">
      <c r="A324" s="12"/>
      <c r="B324" s="12"/>
      <c r="C324" s="12"/>
      <c r="D324" s="12"/>
      <c r="E324" s="12"/>
      <c r="F324" s="13"/>
      <c r="G324" s="13"/>
      <c r="H324" s="13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3.5" customHeight="1">
      <c r="A325" s="12"/>
      <c r="B325" s="12"/>
      <c r="C325" s="12"/>
      <c r="D325" s="12"/>
      <c r="E325" s="12"/>
      <c r="F325" s="13"/>
      <c r="G325" s="13"/>
      <c r="H325" s="13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3.5" customHeight="1">
      <c r="A326" s="12"/>
      <c r="B326" s="12"/>
      <c r="C326" s="12"/>
      <c r="D326" s="12"/>
      <c r="E326" s="12"/>
      <c r="F326" s="13"/>
      <c r="G326" s="13"/>
      <c r="H326" s="13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3.5" customHeight="1">
      <c r="A327" s="12"/>
      <c r="B327" s="12"/>
      <c r="C327" s="12"/>
      <c r="D327" s="12"/>
      <c r="E327" s="12"/>
      <c r="F327" s="13"/>
      <c r="G327" s="13"/>
      <c r="H327" s="13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3.5" customHeight="1">
      <c r="A328" s="12"/>
      <c r="B328" s="12"/>
      <c r="C328" s="12"/>
      <c r="D328" s="12"/>
      <c r="E328" s="12"/>
      <c r="F328" s="13"/>
      <c r="G328" s="13"/>
      <c r="H328" s="13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3.5" customHeight="1">
      <c r="A329" s="12"/>
      <c r="B329" s="12"/>
      <c r="C329" s="12"/>
      <c r="D329" s="12"/>
      <c r="E329" s="12"/>
      <c r="F329" s="13"/>
      <c r="G329" s="13"/>
      <c r="H329" s="13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3.5" customHeight="1">
      <c r="A330" s="12"/>
      <c r="B330" s="12"/>
      <c r="C330" s="12"/>
      <c r="D330" s="12"/>
      <c r="E330" s="12"/>
      <c r="F330" s="13"/>
      <c r="G330" s="13"/>
      <c r="H330" s="13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3.5" customHeight="1">
      <c r="A331" s="12"/>
      <c r="B331" s="12"/>
      <c r="C331" s="12"/>
      <c r="D331" s="12"/>
      <c r="E331" s="12"/>
      <c r="F331" s="13"/>
      <c r="G331" s="13"/>
      <c r="H331" s="13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3.5" customHeight="1">
      <c r="A332" s="12"/>
      <c r="B332" s="12"/>
      <c r="C332" s="12"/>
      <c r="D332" s="12"/>
      <c r="E332" s="12"/>
      <c r="F332" s="13"/>
      <c r="G332" s="13"/>
      <c r="H332" s="13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3.5" customHeight="1">
      <c r="A333" s="12"/>
      <c r="B333" s="12"/>
      <c r="C333" s="12"/>
      <c r="D333" s="12"/>
      <c r="E333" s="12"/>
      <c r="F333" s="13"/>
      <c r="G333" s="13"/>
      <c r="H333" s="13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3.5" customHeight="1">
      <c r="A334" s="12"/>
      <c r="B334" s="12"/>
      <c r="C334" s="12"/>
      <c r="D334" s="12"/>
      <c r="E334" s="12"/>
      <c r="F334" s="13"/>
      <c r="G334" s="13"/>
      <c r="H334" s="13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3.5" customHeight="1">
      <c r="A335" s="12"/>
      <c r="B335" s="12"/>
      <c r="C335" s="12"/>
      <c r="D335" s="12"/>
      <c r="E335" s="12"/>
      <c r="F335" s="13"/>
      <c r="G335" s="13"/>
      <c r="H335" s="13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3.5" customHeight="1">
      <c r="A336" s="12"/>
      <c r="B336" s="12"/>
      <c r="C336" s="12"/>
      <c r="D336" s="12"/>
      <c r="E336" s="12"/>
      <c r="F336" s="13"/>
      <c r="G336" s="13"/>
      <c r="H336" s="13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3.5" customHeight="1">
      <c r="A337" s="12"/>
      <c r="B337" s="12"/>
      <c r="C337" s="12"/>
      <c r="D337" s="12"/>
      <c r="E337" s="12"/>
      <c r="F337" s="13"/>
      <c r="G337" s="13"/>
      <c r="H337" s="13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3.5" customHeight="1">
      <c r="A338" s="12"/>
      <c r="B338" s="12"/>
      <c r="C338" s="12"/>
      <c r="D338" s="12"/>
      <c r="E338" s="12"/>
      <c r="F338" s="13"/>
      <c r="G338" s="13"/>
      <c r="H338" s="13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3.5" customHeight="1">
      <c r="A339" s="12"/>
      <c r="B339" s="12"/>
      <c r="C339" s="12"/>
      <c r="D339" s="12"/>
      <c r="E339" s="12"/>
      <c r="F339" s="13"/>
      <c r="G339" s="13"/>
      <c r="H339" s="13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3.5" customHeight="1">
      <c r="A340" s="12"/>
      <c r="B340" s="12"/>
      <c r="C340" s="12"/>
      <c r="D340" s="12"/>
      <c r="E340" s="12"/>
      <c r="F340" s="13"/>
      <c r="G340" s="13"/>
      <c r="H340" s="13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3.5" customHeight="1">
      <c r="A341" s="12"/>
      <c r="B341" s="12"/>
      <c r="C341" s="12"/>
      <c r="D341" s="12"/>
      <c r="E341" s="12"/>
      <c r="F341" s="13"/>
      <c r="G341" s="13"/>
      <c r="H341" s="13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3.5" customHeight="1">
      <c r="A342" s="12"/>
      <c r="B342" s="12"/>
      <c r="C342" s="12"/>
      <c r="D342" s="12"/>
      <c r="E342" s="12"/>
      <c r="F342" s="13"/>
      <c r="G342" s="13"/>
      <c r="H342" s="13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3.5" customHeight="1">
      <c r="A343" s="12"/>
      <c r="B343" s="12"/>
      <c r="C343" s="12"/>
      <c r="D343" s="12"/>
      <c r="E343" s="12"/>
      <c r="F343" s="13"/>
      <c r="G343" s="13"/>
      <c r="H343" s="13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3.5" customHeight="1">
      <c r="A344" s="12"/>
      <c r="B344" s="12"/>
      <c r="C344" s="12"/>
      <c r="D344" s="12"/>
      <c r="E344" s="12"/>
      <c r="F344" s="13"/>
      <c r="G344" s="13"/>
      <c r="H344" s="13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3.5" customHeight="1">
      <c r="A345" s="12"/>
      <c r="B345" s="12"/>
      <c r="C345" s="12"/>
      <c r="D345" s="12"/>
      <c r="E345" s="12"/>
      <c r="F345" s="13"/>
      <c r="G345" s="13"/>
      <c r="H345" s="13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3.5" customHeight="1">
      <c r="A346" s="12"/>
      <c r="B346" s="12"/>
      <c r="C346" s="12"/>
      <c r="D346" s="12"/>
      <c r="E346" s="12"/>
      <c r="F346" s="13"/>
      <c r="G346" s="13"/>
      <c r="H346" s="13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3.5" customHeight="1">
      <c r="A347" s="12"/>
      <c r="B347" s="12"/>
      <c r="C347" s="12"/>
      <c r="D347" s="12"/>
      <c r="E347" s="12"/>
      <c r="F347" s="13"/>
      <c r="G347" s="13"/>
      <c r="H347" s="13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3.5" customHeight="1">
      <c r="A348" s="12"/>
      <c r="B348" s="12"/>
      <c r="C348" s="12"/>
      <c r="D348" s="12"/>
      <c r="E348" s="12"/>
      <c r="F348" s="13"/>
      <c r="G348" s="13"/>
      <c r="H348" s="13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3.5" customHeight="1">
      <c r="A349" s="12"/>
      <c r="B349" s="12"/>
      <c r="C349" s="12"/>
      <c r="D349" s="12"/>
      <c r="E349" s="12"/>
      <c r="F349" s="13"/>
      <c r="G349" s="13"/>
      <c r="H349" s="13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3.5" customHeight="1">
      <c r="A350" s="12"/>
      <c r="B350" s="12"/>
      <c r="C350" s="12"/>
      <c r="D350" s="12"/>
      <c r="E350" s="12"/>
      <c r="F350" s="13"/>
      <c r="G350" s="13"/>
      <c r="H350" s="13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3.5" customHeight="1">
      <c r="A351" s="12"/>
      <c r="B351" s="12"/>
      <c r="C351" s="12"/>
      <c r="D351" s="12"/>
      <c r="E351" s="12"/>
      <c r="F351" s="13"/>
      <c r="G351" s="13"/>
      <c r="H351" s="13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3.5" customHeight="1">
      <c r="A352" s="12"/>
      <c r="B352" s="12"/>
      <c r="C352" s="12"/>
      <c r="D352" s="12"/>
      <c r="E352" s="12"/>
      <c r="F352" s="13"/>
      <c r="G352" s="13"/>
      <c r="H352" s="13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3.5" customHeight="1">
      <c r="A353" s="12"/>
      <c r="B353" s="12"/>
      <c r="C353" s="12"/>
      <c r="D353" s="12"/>
      <c r="E353" s="12"/>
      <c r="F353" s="13"/>
      <c r="G353" s="13"/>
      <c r="H353" s="13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3.5" customHeight="1">
      <c r="A354" s="12"/>
      <c r="B354" s="12"/>
      <c r="C354" s="12"/>
      <c r="D354" s="12"/>
      <c r="E354" s="12"/>
      <c r="F354" s="13"/>
      <c r="G354" s="13"/>
      <c r="H354" s="13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3.5" customHeight="1">
      <c r="A355" s="12"/>
      <c r="B355" s="12"/>
      <c r="C355" s="12"/>
      <c r="D355" s="12"/>
      <c r="E355" s="12"/>
      <c r="F355" s="13"/>
      <c r="G355" s="13"/>
      <c r="H355" s="13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3.5" customHeight="1">
      <c r="A356" s="12"/>
      <c r="B356" s="12"/>
      <c r="C356" s="12"/>
      <c r="D356" s="12"/>
      <c r="E356" s="12"/>
      <c r="F356" s="13"/>
      <c r="G356" s="13"/>
      <c r="H356" s="13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3.5" customHeight="1">
      <c r="A357" s="12"/>
      <c r="B357" s="12"/>
      <c r="C357" s="12"/>
      <c r="D357" s="12"/>
      <c r="E357" s="12"/>
      <c r="F357" s="13"/>
      <c r="G357" s="13"/>
      <c r="H357" s="13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3.5" customHeight="1">
      <c r="A358" s="12"/>
      <c r="B358" s="12"/>
      <c r="C358" s="12"/>
      <c r="D358" s="12"/>
      <c r="E358" s="12"/>
      <c r="F358" s="13"/>
      <c r="G358" s="13"/>
      <c r="H358" s="13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3.5" customHeight="1">
      <c r="A359" s="12"/>
      <c r="B359" s="12"/>
      <c r="C359" s="12"/>
      <c r="D359" s="12"/>
      <c r="E359" s="12"/>
      <c r="F359" s="13"/>
      <c r="G359" s="13"/>
      <c r="H359" s="13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3.5" customHeight="1">
      <c r="A360" s="12"/>
      <c r="B360" s="12"/>
      <c r="C360" s="12"/>
      <c r="D360" s="12"/>
      <c r="E360" s="12"/>
      <c r="F360" s="13"/>
      <c r="G360" s="13"/>
      <c r="H360" s="13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3.5" customHeight="1">
      <c r="A361" s="12"/>
      <c r="B361" s="12"/>
      <c r="C361" s="12"/>
      <c r="D361" s="12"/>
      <c r="E361" s="12"/>
      <c r="F361" s="13"/>
      <c r="G361" s="13"/>
      <c r="H361" s="13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3.5" customHeight="1">
      <c r="A362" s="12"/>
      <c r="B362" s="12"/>
      <c r="C362" s="12"/>
      <c r="D362" s="12"/>
      <c r="E362" s="12"/>
      <c r="F362" s="13"/>
      <c r="G362" s="13"/>
      <c r="H362" s="13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3.5" customHeight="1">
      <c r="A363" s="12"/>
      <c r="B363" s="12"/>
      <c r="C363" s="12"/>
      <c r="D363" s="12"/>
      <c r="E363" s="12"/>
      <c r="F363" s="13"/>
      <c r="G363" s="13"/>
      <c r="H363" s="13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3.5" customHeight="1">
      <c r="A364" s="12"/>
      <c r="B364" s="12"/>
      <c r="C364" s="12"/>
      <c r="D364" s="12"/>
      <c r="E364" s="12"/>
      <c r="F364" s="13"/>
      <c r="G364" s="13"/>
      <c r="H364" s="13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3.5" customHeight="1">
      <c r="A365" s="12"/>
      <c r="B365" s="12"/>
      <c r="C365" s="12"/>
      <c r="D365" s="12"/>
      <c r="E365" s="12"/>
      <c r="F365" s="13"/>
      <c r="G365" s="13"/>
      <c r="H365" s="13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3.5" customHeight="1">
      <c r="A366" s="12"/>
      <c r="B366" s="12"/>
      <c r="C366" s="12"/>
      <c r="D366" s="12"/>
      <c r="E366" s="12"/>
      <c r="F366" s="13"/>
      <c r="G366" s="13"/>
      <c r="H366" s="13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3.5" customHeight="1">
      <c r="A367" s="12"/>
      <c r="B367" s="12"/>
      <c r="C367" s="12"/>
      <c r="D367" s="12"/>
      <c r="E367" s="12"/>
      <c r="F367" s="13"/>
      <c r="G367" s="13"/>
      <c r="H367" s="13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3.5" customHeight="1">
      <c r="A368" s="12"/>
      <c r="B368" s="12"/>
      <c r="C368" s="12"/>
      <c r="D368" s="12"/>
      <c r="E368" s="12"/>
      <c r="F368" s="13"/>
      <c r="G368" s="13"/>
      <c r="H368" s="13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3.5" customHeight="1">
      <c r="A369" s="12"/>
      <c r="B369" s="12"/>
      <c r="C369" s="12"/>
      <c r="D369" s="12"/>
      <c r="E369" s="12"/>
      <c r="F369" s="13"/>
      <c r="G369" s="13"/>
      <c r="H369" s="13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3.5" customHeight="1">
      <c r="A370" s="12"/>
      <c r="B370" s="12"/>
      <c r="C370" s="12"/>
      <c r="D370" s="12"/>
      <c r="E370" s="12"/>
      <c r="F370" s="13"/>
      <c r="G370" s="13"/>
      <c r="H370" s="13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3.5" customHeight="1">
      <c r="A371" s="12"/>
      <c r="B371" s="12"/>
      <c r="C371" s="12"/>
      <c r="D371" s="12"/>
      <c r="E371" s="12"/>
      <c r="F371" s="13"/>
      <c r="G371" s="13"/>
      <c r="H371" s="13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3.5" customHeight="1">
      <c r="A372" s="12"/>
      <c r="B372" s="12"/>
      <c r="C372" s="12"/>
      <c r="D372" s="12"/>
      <c r="E372" s="12"/>
      <c r="F372" s="13"/>
      <c r="G372" s="13"/>
      <c r="H372" s="13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3.5" customHeight="1">
      <c r="A373" s="12"/>
      <c r="B373" s="12"/>
      <c r="C373" s="12"/>
      <c r="D373" s="12"/>
      <c r="E373" s="12"/>
      <c r="F373" s="13"/>
      <c r="G373" s="13"/>
      <c r="H373" s="13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3.5" customHeight="1">
      <c r="A374" s="12"/>
      <c r="B374" s="12"/>
      <c r="C374" s="12"/>
      <c r="D374" s="12"/>
      <c r="E374" s="12"/>
      <c r="F374" s="13"/>
      <c r="G374" s="13"/>
      <c r="H374" s="13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3.5" customHeight="1">
      <c r="A375" s="12"/>
      <c r="B375" s="12"/>
      <c r="C375" s="12"/>
      <c r="D375" s="12"/>
      <c r="E375" s="12"/>
      <c r="F375" s="13"/>
      <c r="G375" s="13"/>
      <c r="H375" s="13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3.5" customHeight="1">
      <c r="A376" s="12"/>
      <c r="B376" s="12"/>
      <c r="C376" s="12"/>
      <c r="D376" s="12"/>
      <c r="E376" s="12"/>
      <c r="F376" s="13"/>
      <c r="G376" s="13"/>
      <c r="H376" s="13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3.5" customHeight="1">
      <c r="A377" s="12"/>
      <c r="B377" s="12"/>
      <c r="C377" s="12"/>
      <c r="D377" s="12"/>
      <c r="E377" s="12"/>
      <c r="F377" s="13"/>
      <c r="G377" s="13"/>
      <c r="H377" s="13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3.5" customHeight="1">
      <c r="A378" s="12"/>
      <c r="B378" s="12"/>
      <c r="C378" s="12"/>
      <c r="D378" s="12"/>
      <c r="E378" s="12"/>
      <c r="F378" s="13"/>
      <c r="G378" s="13"/>
      <c r="H378" s="13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3.5" customHeight="1">
      <c r="A379" s="12"/>
      <c r="B379" s="12"/>
      <c r="C379" s="12"/>
      <c r="D379" s="12"/>
      <c r="E379" s="12"/>
      <c r="F379" s="13"/>
      <c r="G379" s="13"/>
      <c r="H379" s="13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3.5" customHeight="1">
      <c r="A380" s="12"/>
      <c r="B380" s="12"/>
      <c r="C380" s="12"/>
      <c r="D380" s="12"/>
      <c r="E380" s="12"/>
      <c r="F380" s="13"/>
      <c r="G380" s="13"/>
      <c r="H380" s="13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3.5" customHeight="1">
      <c r="A381" s="12"/>
      <c r="B381" s="12"/>
      <c r="C381" s="12"/>
      <c r="D381" s="12"/>
      <c r="E381" s="12"/>
      <c r="F381" s="13"/>
      <c r="G381" s="13"/>
      <c r="H381" s="13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3.5" customHeight="1">
      <c r="A382" s="12"/>
      <c r="B382" s="12"/>
      <c r="C382" s="12"/>
      <c r="D382" s="12"/>
      <c r="E382" s="12"/>
      <c r="F382" s="13"/>
      <c r="G382" s="13"/>
      <c r="H382" s="13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3.5" customHeight="1">
      <c r="A383" s="12"/>
      <c r="B383" s="12"/>
      <c r="C383" s="12"/>
      <c r="D383" s="12"/>
      <c r="E383" s="12"/>
      <c r="F383" s="13"/>
      <c r="G383" s="13"/>
      <c r="H383" s="13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3.5" customHeight="1">
      <c r="A384" s="12"/>
      <c r="B384" s="12"/>
      <c r="C384" s="12"/>
      <c r="D384" s="12"/>
      <c r="E384" s="12"/>
      <c r="F384" s="13"/>
      <c r="G384" s="13"/>
      <c r="H384" s="13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3.5" customHeight="1">
      <c r="A385" s="12"/>
      <c r="B385" s="12"/>
      <c r="C385" s="12"/>
      <c r="D385" s="12"/>
      <c r="E385" s="12"/>
      <c r="F385" s="13"/>
      <c r="G385" s="13"/>
      <c r="H385" s="13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3.5" customHeight="1">
      <c r="A386" s="12"/>
      <c r="B386" s="12"/>
      <c r="C386" s="12"/>
      <c r="D386" s="12"/>
      <c r="E386" s="12"/>
      <c r="F386" s="13"/>
      <c r="G386" s="13"/>
      <c r="H386" s="13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3.5" customHeight="1">
      <c r="A387" s="12"/>
      <c r="B387" s="12"/>
      <c r="C387" s="12"/>
      <c r="D387" s="12"/>
      <c r="E387" s="12"/>
      <c r="F387" s="13"/>
      <c r="G387" s="13"/>
      <c r="H387" s="13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3.5" customHeight="1">
      <c r="A388" s="12"/>
      <c r="B388" s="12"/>
      <c r="C388" s="12"/>
      <c r="D388" s="12"/>
      <c r="E388" s="12"/>
      <c r="F388" s="13"/>
      <c r="G388" s="13"/>
      <c r="H388" s="13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3.5" customHeight="1">
      <c r="A389" s="12"/>
      <c r="B389" s="12"/>
      <c r="C389" s="12"/>
      <c r="D389" s="12"/>
      <c r="E389" s="12"/>
      <c r="F389" s="13"/>
      <c r="G389" s="13"/>
      <c r="H389" s="13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3.5" customHeight="1">
      <c r="A390" s="12"/>
      <c r="B390" s="12"/>
      <c r="C390" s="12"/>
      <c r="D390" s="12"/>
      <c r="E390" s="12"/>
      <c r="F390" s="13"/>
      <c r="G390" s="13"/>
      <c r="H390" s="13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3.5" customHeight="1">
      <c r="A391" s="12"/>
      <c r="B391" s="12"/>
      <c r="C391" s="12"/>
      <c r="D391" s="12"/>
      <c r="E391" s="12"/>
      <c r="F391" s="13"/>
      <c r="G391" s="13"/>
      <c r="H391" s="13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3.5" customHeight="1">
      <c r="A392" s="12"/>
      <c r="B392" s="12"/>
      <c r="C392" s="12"/>
      <c r="D392" s="12"/>
      <c r="E392" s="12"/>
      <c r="F392" s="13"/>
      <c r="G392" s="13"/>
      <c r="H392" s="13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3.5" customHeight="1">
      <c r="A393" s="12"/>
      <c r="B393" s="12"/>
      <c r="C393" s="12"/>
      <c r="D393" s="12"/>
      <c r="E393" s="12"/>
      <c r="F393" s="13"/>
      <c r="G393" s="13"/>
      <c r="H393" s="13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3.5" customHeight="1">
      <c r="A394" s="12"/>
      <c r="B394" s="12"/>
      <c r="C394" s="12"/>
      <c r="D394" s="12"/>
      <c r="E394" s="12"/>
      <c r="F394" s="13"/>
      <c r="G394" s="13"/>
      <c r="H394" s="13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3.5" customHeight="1">
      <c r="A395" s="12"/>
      <c r="B395" s="12"/>
      <c r="C395" s="12"/>
      <c r="D395" s="12"/>
      <c r="E395" s="12"/>
      <c r="F395" s="13"/>
      <c r="G395" s="13"/>
      <c r="H395" s="13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3.5" customHeight="1">
      <c r="A396" s="12"/>
      <c r="B396" s="12"/>
      <c r="C396" s="12"/>
      <c r="D396" s="12"/>
      <c r="E396" s="12"/>
      <c r="F396" s="13"/>
      <c r="G396" s="13"/>
      <c r="H396" s="13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3.5" customHeight="1">
      <c r="A397" s="12"/>
      <c r="B397" s="12"/>
      <c r="C397" s="12"/>
      <c r="D397" s="12"/>
      <c r="E397" s="12"/>
      <c r="F397" s="13"/>
      <c r="G397" s="13"/>
      <c r="H397" s="13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3.5" customHeight="1">
      <c r="A398" s="12"/>
      <c r="B398" s="12"/>
      <c r="C398" s="12"/>
      <c r="D398" s="12"/>
      <c r="E398" s="12"/>
      <c r="F398" s="13"/>
      <c r="G398" s="13"/>
      <c r="H398" s="13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3.5" customHeight="1">
      <c r="A399" s="12"/>
      <c r="B399" s="12"/>
      <c r="C399" s="12"/>
      <c r="D399" s="12"/>
      <c r="E399" s="12"/>
      <c r="F399" s="13"/>
      <c r="G399" s="13"/>
      <c r="H399" s="13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3.5" customHeight="1">
      <c r="A400" s="12"/>
      <c r="B400" s="12"/>
      <c r="C400" s="12"/>
      <c r="D400" s="12"/>
      <c r="E400" s="12"/>
      <c r="F400" s="13"/>
      <c r="G400" s="13"/>
      <c r="H400" s="13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3.5" customHeight="1">
      <c r="A401" s="12"/>
      <c r="B401" s="12"/>
      <c r="C401" s="12"/>
      <c r="D401" s="12"/>
      <c r="E401" s="12"/>
      <c r="F401" s="13"/>
      <c r="G401" s="13"/>
      <c r="H401" s="13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3.5" customHeight="1">
      <c r="A402" s="12"/>
      <c r="B402" s="12"/>
      <c r="C402" s="12"/>
      <c r="D402" s="12"/>
      <c r="E402" s="12"/>
      <c r="F402" s="13"/>
      <c r="G402" s="13"/>
      <c r="H402" s="13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3.5" customHeight="1">
      <c r="A403" s="12"/>
      <c r="B403" s="12"/>
      <c r="C403" s="12"/>
      <c r="D403" s="12"/>
      <c r="E403" s="12"/>
      <c r="F403" s="13"/>
      <c r="G403" s="13"/>
      <c r="H403" s="13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3.5" customHeight="1">
      <c r="A404" s="12"/>
      <c r="B404" s="12"/>
      <c r="C404" s="12"/>
      <c r="D404" s="12"/>
      <c r="E404" s="12"/>
      <c r="F404" s="13"/>
      <c r="G404" s="13"/>
      <c r="H404" s="13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3.5" customHeight="1">
      <c r="A405" s="12"/>
      <c r="B405" s="12"/>
      <c r="C405" s="12"/>
      <c r="D405" s="12"/>
      <c r="E405" s="12"/>
      <c r="F405" s="13"/>
      <c r="G405" s="13"/>
      <c r="H405" s="13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3.5" customHeight="1">
      <c r="A406" s="12"/>
      <c r="B406" s="12"/>
      <c r="C406" s="12"/>
      <c r="D406" s="12"/>
      <c r="E406" s="12"/>
      <c r="F406" s="13"/>
      <c r="G406" s="13"/>
      <c r="H406" s="13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3.5" customHeight="1">
      <c r="A407" s="12"/>
      <c r="B407" s="12"/>
      <c r="C407" s="12"/>
      <c r="D407" s="12"/>
      <c r="E407" s="12"/>
      <c r="F407" s="13"/>
      <c r="G407" s="13"/>
      <c r="H407" s="13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3.5" customHeight="1">
      <c r="A408" s="12"/>
      <c r="B408" s="12"/>
      <c r="C408" s="12"/>
      <c r="D408" s="12"/>
      <c r="E408" s="12"/>
      <c r="F408" s="13"/>
      <c r="G408" s="13"/>
      <c r="H408" s="13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3.5" customHeight="1">
      <c r="A409" s="12"/>
      <c r="B409" s="12"/>
      <c r="C409" s="12"/>
      <c r="D409" s="12"/>
      <c r="E409" s="12"/>
      <c r="F409" s="13"/>
      <c r="G409" s="13"/>
      <c r="H409" s="13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3.5" customHeight="1">
      <c r="A410" s="12"/>
      <c r="B410" s="12"/>
      <c r="C410" s="12"/>
      <c r="D410" s="12"/>
      <c r="E410" s="12"/>
      <c r="F410" s="13"/>
      <c r="G410" s="13"/>
      <c r="H410" s="13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3.5" customHeight="1">
      <c r="A411" s="12"/>
      <c r="B411" s="12"/>
      <c r="C411" s="12"/>
      <c r="D411" s="12"/>
      <c r="E411" s="12"/>
      <c r="F411" s="13"/>
      <c r="G411" s="13"/>
      <c r="H411" s="13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3.5" customHeight="1">
      <c r="A412" s="12"/>
      <c r="B412" s="12"/>
      <c r="C412" s="12"/>
      <c r="D412" s="12"/>
      <c r="E412" s="12"/>
      <c r="F412" s="13"/>
      <c r="G412" s="13"/>
      <c r="H412" s="13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3.5" customHeight="1">
      <c r="A413" s="12"/>
      <c r="B413" s="12"/>
      <c r="C413" s="12"/>
      <c r="D413" s="12"/>
      <c r="E413" s="12"/>
      <c r="F413" s="13"/>
      <c r="G413" s="13"/>
      <c r="H413" s="13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3.5" customHeight="1">
      <c r="A414" s="12"/>
      <c r="B414" s="12"/>
      <c r="C414" s="12"/>
      <c r="D414" s="12"/>
      <c r="E414" s="12"/>
      <c r="F414" s="13"/>
      <c r="G414" s="13"/>
      <c r="H414" s="13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3.5" customHeight="1">
      <c r="A415" s="12"/>
      <c r="B415" s="12"/>
      <c r="C415" s="12"/>
      <c r="D415" s="12"/>
      <c r="E415" s="12"/>
      <c r="F415" s="13"/>
      <c r="G415" s="13"/>
      <c r="H415" s="13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3.5" customHeight="1">
      <c r="A416" s="12"/>
      <c r="B416" s="12"/>
      <c r="C416" s="12"/>
      <c r="D416" s="12"/>
      <c r="E416" s="12"/>
      <c r="F416" s="13"/>
      <c r="G416" s="13"/>
      <c r="H416" s="13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3.5" customHeight="1">
      <c r="A417" s="12"/>
      <c r="B417" s="12"/>
      <c r="C417" s="12"/>
      <c r="D417" s="12"/>
      <c r="E417" s="12"/>
      <c r="F417" s="13"/>
      <c r="G417" s="13"/>
      <c r="H417" s="13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3.5" customHeight="1">
      <c r="A418" s="12"/>
      <c r="B418" s="12"/>
      <c r="C418" s="12"/>
      <c r="D418" s="12"/>
      <c r="E418" s="12"/>
      <c r="F418" s="13"/>
      <c r="G418" s="13"/>
      <c r="H418" s="13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3.5" customHeight="1">
      <c r="A419" s="12"/>
      <c r="B419" s="12"/>
      <c r="C419" s="12"/>
      <c r="D419" s="12"/>
      <c r="E419" s="12"/>
      <c r="F419" s="13"/>
      <c r="G419" s="13"/>
      <c r="H419" s="13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3.5" customHeight="1">
      <c r="A420" s="12"/>
      <c r="B420" s="12"/>
      <c r="C420" s="12"/>
      <c r="D420" s="12"/>
      <c r="E420" s="12"/>
      <c r="F420" s="13"/>
      <c r="G420" s="13"/>
      <c r="H420" s="13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3.5" customHeight="1">
      <c r="A421" s="12"/>
      <c r="B421" s="12"/>
      <c r="C421" s="12"/>
      <c r="D421" s="12"/>
      <c r="E421" s="12"/>
      <c r="F421" s="13"/>
      <c r="G421" s="13"/>
      <c r="H421" s="13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3.5" customHeight="1">
      <c r="A422" s="12"/>
      <c r="B422" s="12"/>
      <c r="C422" s="12"/>
      <c r="D422" s="12"/>
      <c r="E422" s="12"/>
      <c r="F422" s="13"/>
      <c r="G422" s="13"/>
      <c r="H422" s="13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3.5" customHeight="1">
      <c r="A423" s="12"/>
      <c r="B423" s="12"/>
      <c r="C423" s="12"/>
      <c r="D423" s="12"/>
      <c r="E423" s="12"/>
      <c r="F423" s="13"/>
      <c r="G423" s="13"/>
      <c r="H423" s="13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3.5" customHeight="1">
      <c r="A424" s="12"/>
      <c r="B424" s="12"/>
      <c r="C424" s="12"/>
      <c r="D424" s="12"/>
      <c r="E424" s="12"/>
      <c r="F424" s="13"/>
      <c r="G424" s="13"/>
      <c r="H424" s="13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3.5" customHeight="1">
      <c r="A425" s="12"/>
      <c r="B425" s="12"/>
      <c r="C425" s="12"/>
      <c r="D425" s="12"/>
      <c r="E425" s="12"/>
      <c r="F425" s="13"/>
      <c r="G425" s="13"/>
      <c r="H425" s="13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3.5" customHeight="1">
      <c r="A426" s="12"/>
      <c r="B426" s="12"/>
      <c r="C426" s="12"/>
      <c r="D426" s="12"/>
      <c r="E426" s="12"/>
      <c r="F426" s="13"/>
      <c r="G426" s="13"/>
      <c r="H426" s="13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3.5" customHeight="1">
      <c r="A427" s="12"/>
      <c r="B427" s="12"/>
      <c r="C427" s="12"/>
      <c r="D427" s="12"/>
      <c r="E427" s="12"/>
      <c r="F427" s="13"/>
      <c r="G427" s="13"/>
      <c r="H427" s="13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3.5" customHeight="1">
      <c r="A428" s="12"/>
      <c r="B428" s="12"/>
      <c r="C428" s="12"/>
      <c r="D428" s="12"/>
      <c r="E428" s="12"/>
      <c r="F428" s="13"/>
      <c r="G428" s="13"/>
      <c r="H428" s="13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3.5" customHeight="1">
      <c r="A429" s="12"/>
      <c r="B429" s="12"/>
      <c r="C429" s="12"/>
      <c r="D429" s="12"/>
      <c r="E429" s="12"/>
      <c r="F429" s="13"/>
      <c r="G429" s="13"/>
      <c r="H429" s="13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3.5" customHeight="1">
      <c r="A430" s="12"/>
      <c r="B430" s="12"/>
      <c r="C430" s="12"/>
      <c r="D430" s="12"/>
      <c r="E430" s="12"/>
      <c r="F430" s="13"/>
      <c r="G430" s="13"/>
      <c r="H430" s="13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3.5" customHeight="1">
      <c r="A431" s="12"/>
      <c r="B431" s="12"/>
      <c r="C431" s="12"/>
      <c r="D431" s="12"/>
      <c r="E431" s="12"/>
      <c r="F431" s="13"/>
      <c r="G431" s="13"/>
      <c r="H431" s="13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3.5" customHeight="1">
      <c r="A432" s="12"/>
      <c r="B432" s="12"/>
      <c r="C432" s="12"/>
      <c r="D432" s="12"/>
      <c r="E432" s="12"/>
      <c r="F432" s="13"/>
      <c r="G432" s="13"/>
      <c r="H432" s="13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3.5" customHeight="1">
      <c r="A433" s="12"/>
      <c r="B433" s="12"/>
      <c r="C433" s="12"/>
      <c r="D433" s="12"/>
      <c r="E433" s="12"/>
      <c r="F433" s="13"/>
      <c r="G433" s="13"/>
      <c r="H433" s="13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3.5" customHeight="1">
      <c r="A434" s="12"/>
      <c r="B434" s="12"/>
      <c r="C434" s="12"/>
      <c r="D434" s="12"/>
      <c r="E434" s="12"/>
      <c r="F434" s="13"/>
      <c r="G434" s="13"/>
      <c r="H434" s="13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3.5" customHeight="1">
      <c r="A435" s="12"/>
      <c r="B435" s="12"/>
      <c r="C435" s="12"/>
      <c r="D435" s="12"/>
      <c r="E435" s="12"/>
      <c r="F435" s="13"/>
      <c r="G435" s="13"/>
      <c r="H435" s="13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3.5" customHeight="1">
      <c r="A436" s="12"/>
      <c r="B436" s="12"/>
      <c r="C436" s="12"/>
      <c r="D436" s="12"/>
      <c r="E436" s="12"/>
      <c r="F436" s="13"/>
      <c r="G436" s="13"/>
      <c r="H436" s="13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3.5" customHeight="1">
      <c r="A437" s="12"/>
      <c r="B437" s="12"/>
      <c r="C437" s="12"/>
      <c r="D437" s="12"/>
      <c r="E437" s="12"/>
      <c r="F437" s="13"/>
      <c r="G437" s="13"/>
      <c r="H437" s="13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3.5" customHeight="1">
      <c r="A438" s="12"/>
      <c r="B438" s="12"/>
      <c r="C438" s="12"/>
      <c r="D438" s="12"/>
      <c r="E438" s="12"/>
      <c r="F438" s="13"/>
      <c r="G438" s="13"/>
      <c r="H438" s="13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3.5" customHeight="1">
      <c r="A439" s="12"/>
      <c r="B439" s="12"/>
      <c r="C439" s="12"/>
      <c r="D439" s="12"/>
      <c r="E439" s="12"/>
      <c r="F439" s="13"/>
      <c r="G439" s="13"/>
      <c r="H439" s="13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3.5" customHeight="1">
      <c r="A440" s="12"/>
      <c r="B440" s="12"/>
      <c r="C440" s="12"/>
      <c r="D440" s="12"/>
      <c r="E440" s="12"/>
      <c r="F440" s="13"/>
      <c r="G440" s="13"/>
      <c r="H440" s="13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3.5" customHeight="1">
      <c r="A441" s="12"/>
      <c r="B441" s="12"/>
      <c r="C441" s="12"/>
      <c r="D441" s="12"/>
      <c r="E441" s="12"/>
      <c r="F441" s="13"/>
      <c r="G441" s="13"/>
      <c r="H441" s="13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3.5" customHeight="1">
      <c r="A442" s="12"/>
      <c r="B442" s="12"/>
      <c r="C442" s="12"/>
      <c r="D442" s="12"/>
      <c r="E442" s="12"/>
      <c r="F442" s="13"/>
      <c r="G442" s="13"/>
      <c r="H442" s="13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3.5" customHeight="1">
      <c r="A443" s="12"/>
      <c r="B443" s="12"/>
      <c r="C443" s="12"/>
      <c r="D443" s="12"/>
      <c r="E443" s="12"/>
      <c r="F443" s="13"/>
      <c r="G443" s="13"/>
      <c r="H443" s="13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3.5" customHeight="1">
      <c r="A444" s="12"/>
      <c r="B444" s="12"/>
      <c r="C444" s="12"/>
      <c r="D444" s="12"/>
      <c r="E444" s="12"/>
      <c r="F444" s="13"/>
      <c r="G444" s="13"/>
      <c r="H444" s="13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3.5" customHeight="1">
      <c r="A445" s="12"/>
      <c r="B445" s="12"/>
      <c r="C445" s="12"/>
      <c r="D445" s="12"/>
      <c r="E445" s="12"/>
      <c r="F445" s="13"/>
      <c r="G445" s="13"/>
      <c r="H445" s="13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3.5" customHeight="1">
      <c r="A446" s="12"/>
      <c r="B446" s="12"/>
      <c r="C446" s="12"/>
      <c r="D446" s="12"/>
      <c r="E446" s="12"/>
      <c r="F446" s="13"/>
      <c r="G446" s="13"/>
      <c r="H446" s="13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3.5" customHeight="1">
      <c r="A447" s="12"/>
      <c r="B447" s="12"/>
      <c r="C447" s="12"/>
      <c r="D447" s="12"/>
      <c r="E447" s="12"/>
      <c r="F447" s="13"/>
      <c r="G447" s="13"/>
      <c r="H447" s="13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3.5" customHeight="1">
      <c r="A448" s="12"/>
      <c r="B448" s="12"/>
      <c r="C448" s="12"/>
      <c r="D448" s="12"/>
      <c r="E448" s="12"/>
      <c r="F448" s="13"/>
      <c r="G448" s="13"/>
      <c r="H448" s="13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3.5" customHeight="1">
      <c r="A449" s="12"/>
      <c r="B449" s="12"/>
      <c r="C449" s="12"/>
      <c r="D449" s="12"/>
      <c r="E449" s="12"/>
      <c r="F449" s="13"/>
      <c r="G449" s="13"/>
      <c r="H449" s="13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3.5" customHeight="1">
      <c r="A450" s="12"/>
      <c r="B450" s="12"/>
      <c r="C450" s="12"/>
      <c r="D450" s="12"/>
      <c r="E450" s="12"/>
      <c r="F450" s="13"/>
      <c r="G450" s="13"/>
      <c r="H450" s="13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3.5" customHeight="1">
      <c r="A451" s="12"/>
      <c r="B451" s="12"/>
      <c r="C451" s="12"/>
      <c r="D451" s="12"/>
      <c r="E451" s="12"/>
      <c r="F451" s="13"/>
      <c r="G451" s="13"/>
      <c r="H451" s="13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3.5" customHeight="1">
      <c r="A452" s="12"/>
      <c r="B452" s="12"/>
      <c r="C452" s="12"/>
      <c r="D452" s="12"/>
      <c r="E452" s="12"/>
      <c r="F452" s="13"/>
      <c r="G452" s="13"/>
      <c r="H452" s="13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3.5" customHeight="1">
      <c r="A453" s="12"/>
      <c r="B453" s="12"/>
      <c r="C453" s="12"/>
      <c r="D453" s="12"/>
      <c r="E453" s="12"/>
      <c r="F453" s="13"/>
      <c r="G453" s="13"/>
      <c r="H453" s="13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3.5" customHeight="1">
      <c r="A454" s="12"/>
      <c r="B454" s="12"/>
      <c r="C454" s="12"/>
      <c r="D454" s="12"/>
      <c r="E454" s="12"/>
      <c r="F454" s="13"/>
      <c r="G454" s="13"/>
      <c r="H454" s="13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3.5" customHeight="1">
      <c r="A455" s="12"/>
      <c r="B455" s="12"/>
      <c r="C455" s="12"/>
      <c r="D455" s="12"/>
      <c r="E455" s="12"/>
      <c r="F455" s="13"/>
      <c r="G455" s="13"/>
      <c r="H455" s="13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3.5" customHeight="1">
      <c r="A456" s="12"/>
      <c r="B456" s="12"/>
      <c r="C456" s="12"/>
      <c r="D456" s="12"/>
      <c r="E456" s="12"/>
      <c r="F456" s="13"/>
      <c r="G456" s="13"/>
      <c r="H456" s="13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3.5" customHeight="1">
      <c r="A457" s="12"/>
      <c r="B457" s="12"/>
      <c r="C457" s="12"/>
      <c r="D457" s="12"/>
      <c r="E457" s="12"/>
      <c r="F457" s="13"/>
      <c r="G457" s="13"/>
      <c r="H457" s="13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3.5" customHeight="1">
      <c r="A458" s="12"/>
      <c r="B458" s="12"/>
      <c r="C458" s="12"/>
      <c r="D458" s="12"/>
      <c r="E458" s="12"/>
      <c r="F458" s="13"/>
      <c r="G458" s="13"/>
      <c r="H458" s="13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3.5" customHeight="1">
      <c r="A459" s="12"/>
      <c r="B459" s="12"/>
      <c r="C459" s="12"/>
      <c r="D459" s="12"/>
      <c r="E459" s="12"/>
      <c r="F459" s="13"/>
      <c r="G459" s="13"/>
      <c r="H459" s="13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3.5" customHeight="1">
      <c r="A460" s="12"/>
      <c r="B460" s="12"/>
      <c r="C460" s="12"/>
      <c r="D460" s="12"/>
      <c r="E460" s="12"/>
      <c r="F460" s="13"/>
      <c r="G460" s="13"/>
      <c r="H460" s="13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3.5" customHeight="1">
      <c r="A461" s="12"/>
      <c r="B461" s="12"/>
      <c r="C461" s="12"/>
      <c r="D461" s="12"/>
      <c r="E461" s="12"/>
      <c r="F461" s="13"/>
      <c r="G461" s="13"/>
      <c r="H461" s="13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3.5" customHeight="1">
      <c r="A462" s="12"/>
      <c r="B462" s="12"/>
      <c r="C462" s="12"/>
      <c r="D462" s="12"/>
      <c r="E462" s="12"/>
      <c r="F462" s="13"/>
      <c r="G462" s="13"/>
      <c r="H462" s="13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3.5" customHeight="1">
      <c r="A463" s="12"/>
      <c r="B463" s="12"/>
      <c r="C463" s="12"/>
      <c r="D463" s="12"/>
      <c r="E463" s="12"/>
      <c r="F463" s="13"/>
      <c r="G463" s="13"/>
      <c r="H463" s="13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3.5" customHeight="1">
      <c r="A464" s="12"/>
      <c r="B464" s="12"/>
      <c r="C464" s="12"/>
      <c r="D464" s="12"/>
      <c r="E464" s="12"/>
      <c r="F464" s="13"/>
      <c r="G464" s="13"/>
      <c r="H464" s="13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3.5" customHeight="1">
      <c r="A465" s="12"/>
      <c r="B465" s="12"/>
      <c r="C465" s="12"/>
      <c r="D465" s="12"/>
      <c r="E465" s="12"/>
      <c r="F465" s="13"/>
      <c r="G465" s="13"/>
      <c r="H465" s="13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3.5" customHeight="1">
      <c r="A466" s="12"/>
      <c r="B466" s="12"/>
      <c r="C466" s="12"/>
      <c r="D466" s="12"/>
      <c r="E466" s="12"/>
      <c r="F466" s="13"/>
      <c r="G466" s="13"/>
      <c r="H466" s="13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3.5" customHeight="1">
      <c r="A467" s="12"/>
      <c r="B467" s="12"/>
      <c r="C467" s="12"/>
      <c r="D467" s="12"/>
      <c r="E467" s="12"/>
      <c r="F467" s="13"/>
      <c r="G467" s="13"/>
      <c r="H467" s="13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3.5" customHeight="1">
      <c r="A468" s="12"/>
      <c r="B468" s="12"/>
      <c r="C468" s="12"/>
      <c r="D468" s="12"/>
      <c r="E468" s="12"/>
      <c r="F468" s="13"/>
      <c r="G468" s="13"/>
      <c r="H468" s="13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3.5" customHeight="1">
      <c r="A469" s="12"/>
      <c r="B469" s="12"/>
      <c r="C469" s="12"/>
      <c r="D469" s="12"/>
      <c r="E469" s="12"/>
      <c r="F469" s="13"/>
      <c r="G469" s="13"/>
      <c r="H469" s="13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3.5" customHeight="1">
      <c r="A470" s="12"/>
      <c r="B470" s="12"/>
      <c r="C470" s="12"/>
      <c r="D470" s="12"/>
      <c r="E470" s="12"/>
      <c r="F470" s="13"/>
      <c r="G470" s="13"/>
      <c r="H470" s="13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3.5" customHeight="1">
      <c r="A471" s="12"/>
      <c r="B471" s="12"/>
      <c r="C471" s="12"/>
      <c r="D471" s="12"/>
      <c r="E471" s="12"/>
      <c r="F471" s="13"/>
      <c r="G471" s="13"/>
      <c r="H471" s="13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3.5" customHeight="1">
      <c r="A472" s="12"/>
      <c r="B472" s="12"/>
      <c r="C472" s="12"/>
      <c r="D472" s="12"/>
      <c r="E472" s="12"/>
      <c r="F472" s="13"/>
      <c r="G472" s="13"/>
      <c r="H472" s="13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3.5" customHeight="1">
      <c r="A473" s="12"/>
      <c r="B473" s="12"/>
      <c r="C473" s="12"/>
      <c r="D473" s="12"/>
      <c r="E473" s="12"/>
      <c r="F473" s="13"/>
      <c r="G473" s="13"/>
      <c r="H473" s="13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3.5" customHeight="1">
      <c r="A474" s="12"/>
      <c r="B474" s="12"/>
      <c r="C474" s="12"/>
      <c r="D474" s="12"/>
      <c r="E474" s="12"/>
      <c r="F474" s="13"/>
      <c r="G474" s="13"/>
      <c r="H474" s="13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3.5" customHeight="1">
      <c r="A475" s="12"/>
      <c r="B475" s="12"/>
      <c r="C475" s="12"/>
      <c r="D475" s="12"/>
      <c r="E475" s="12"/>
      <c r="F475" s="13"/>
      <c r="G475" s="13"/>
      <c r="H475" s="13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3.5" customHeight="1">
      <c r="A476" s="12"/>
      <c r="B476" s="12"/>
      <c r="C476" s="12"/>
      <c r="D476" s="12"/>
      <c r="E476" s="12"/>
      <c r="F476" s="13"/>
      <c r="G476" s="13"/>
      <c r="H476" s="13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3.5" customHeight="1">
      <c r="A477" s="12"/>
      <c r="B477" s="12"/>
      <c r="C477" s="12"/>
      <c r="D477" s="12"/>
      <c r="E477" s="12"/>
      <c r="F477" s="13"/>
      <c r="G477" s="13"/>
      <c r="H477" s="13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3.5" customHeight="1">
      <c r="A478" s="12"/>
      <c r="B478" s="12"/>
      <c r="C478" s="12"/>
      <c r="D478" s="12"/>
      <c r="E478" s="12"/>
      <c r="F478" s="13"/>
      <c r="G478" s="13"/>
      <c r="H478" s="13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3.5" customHeight="1">
      <c r="A479" s="12"/>
      <c r="B479" s="12"/>
      <c r="C479" s="12"/>
      <c r="D479" s="12"/>
      <c r="E479" s="12"/>
      <c r="F479" s="13"/>
      <c r="G479" s="13"/>
      <c r="H479" s="13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3.5" customHeight="1">
      <c r="A480" s="12"/>
      <c r="B480" s="12"/>
      <c r="C480" s="12"/>
      <c r="D480" s="12"/>
      <c r="E480" s="12"/>
      <c r="F480" s="13"/>
      <c r="G480" s="13"/>
      <c r="H480" s="13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3.5" customHeight="1">
      <c r="A481" s="12"/>
      <c r="B481" s="12"/>
      <c r="C481" s="12"/>
      <c r="D481" s="12"/>
      <c r="E481" s="12"/>
      <c r="F481" s="13"/>
      <c r="G481" s="13"/>
      <c r="H481" s="13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3.5" customHeight="1">
      <c r="A482" s="12"/>
      <c r="B482" s="12"/>
      <c r="C482" s="12"/>
      <c r="D482" s="12"/>
      <c r="E482" s="12"/>
      <c r="F482" s="13"/>
      <c r="G482" s="13"/>
      <c r="H482" s="13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3.5" customHeight="1">
      <c r="A483" s="12"/>
      <c r="B483" s="12"/>
      <c r="C483" s="12"/>
      <c r="D483" s="12"/>
      <c r="E483" s="12"/>
      <c r="F483" s="13"/>
      <c r="G483" s="13"/>
      <c r="H483" s="13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3.5" customHeight="1">
      <c r="A484" s="12"/>
      <c r="B484" s="12"/>
      <c r="C484" s="12"/>
      <c r="D484" s="12"/>
      <c r="E484" s="12"/>
      <c r="F484" s="13"/>
      <c r="G484" s="13"/>
      <c r="H484" s="13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3.5" customHeight="1">
      <c r="A485" s="12"/>
      <c r="B485" s="12"/>
      <c r="C485" s="12"/>
      <c r="D485" s="12"/>
      <c r="E485" s="12"/>
      <c r="F485" s="13"/>
      <c r="G485" s="13"/>
      <c r="H485" s="13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3.5" customHeight="1">
      <c r="A486" s="12"/>
      <c r="B486" s="12"/>
      <c r="C486" s="12"/>
      <c r="D486" s="12"/>
      <c r="E486" s="12"/>
      <c r="F486" s="13"/>
      <c r="G486" s="13"/>
      <c r="H486" s="13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3.5" customHeight="1">
      <c r="A487" s="12"/>
      <c r="B487" s="12"/>
      <c r="C487" s="12"/>
      <c r="D487" s="12"/>
      <c r="E487" s="12"/>
      <c r="F487" s="13"/>
      <c r="G487" s="13"/>
      <c r="H487" s="13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3.5" customHeight="1">
      <c r="A488" s="12"/>
      <c r="B488" s="12"/>
      <c r="C488" s="12"/>
      <c r="D488" s="12"/>
      <c r="E488" s="12"/>
      <c r="F488" s="13"/>
      <c r="G488" s="13"/>
      <c r="H488" s="13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3.5" customHeight="1">
      <c r="A489" s="12"/>
      <c r="B489" s="12"/>
      <c r="C489" s="12"/>
      <c r="D489" s="12"/>
      <c r="E489" s="12"/>
      <c r="F489" s="13"/>
      <c r="G489" s="13"/>
      <c r="H489" s="13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3.5" customHeight="1">
      <c r="A490" s="12"/>
      <c r="B490" s="12"/>
      <c r="C490" s="12"/>
      <c r="D490" s="12"/>
      <c r="E490" s="12"/>
      <c r="F490" s="13"/>
      <c r="G490" s="13"/>
      <c r="H490" s="13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3.5" customHeight="1">
      <c r="A491" s="12"/>
      <c r="B491" s="12"/>
      <c r="C491" s="12"/>
      <c r="D491" s="12"/>
      <c r="E491" s="12"/>
      <c r="F491" s="13"/>
      <c r="G491" s="13"/>
      <c r="H491" s="13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3.5" customHeight="1">
      <c r="A492" s="12"/>
      <c r="B492" s="12"/>
      <c r="C492" s="12"/>
      <c r="D492" s="12"/>
      <c r="E492" s="12"/>
      <c r="F492" s="13"/>
      <c r="G492" s="13"/>
      <c r="H492" s="13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3.5" customHeight="1">
      <c r="A493" s="12"/>
      <c r="B493" s="12"/>
      <c r="C493" s="12"/>
      <c r="D493" s="12"/>
      <c r="E493" s="12"/>
      <c r="F493" s="13"/>
      <c r="G493" s="13"/>
      <c r="H493" s="13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3.5" customHeight="1">
      <c r="A494" s="12"/>
      <c r="B494" s="12"/>
      <c r="C494" s="12"/>
      <c r="D494" s="12"/>
      <c r="E494" s="12"/>
      <c r="F494" s="13"/>
      <c r="G494" s="13"/>
      <c r="H494" s="13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3.5" customHeight="1">
      <c r="A495" s="12"/>
      <c r="B495" s="12"/>
      <c r="C495" s="12"/>
      <c r="D495" s="12"/>
      <c r="E495" s="12"/>
      <c r="F495" s="13"/>
      <c r="G495" s="13"/>
      <c r="H495" s="13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3.5" customHeight="1">
      <c r="A496" s="12"/>
      <c r="B496" s="12"/>
      <c r="C496" s="12"/>
      <c r="D496" s="12"/>
      <c r="E496" s="12"/>
      <c r="F496" s="13"/>
      <c r="G496" s="13"/>
      <c r="H496" s="13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3.5" customHeight="1">
      <c r="A497" s="12"/>
      <c r="B497" s="12"/>
      <c r="C497" s="12"/>
      <c r="D497" s="12"/>
      <c r="E497" s="12"/>
      <c r="F497" s="13"/>
      <c r="G497" s="13"/>
      <c r="H497" s="13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3.5" customHeight="1">
      <c r="A498" s="12"/>
      <c r="B498" s="12"/>
      <c r="C498" s="12"/>
      <c r="D498" s="12"/>
      <c r="E498" s="12"/>
      <c r="F498" s="13"/>
      <c r="G498" s="13"/>
      <c r="H498" s="13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3.5" customHeight="1">
      <c r="A499" s="12"/>
      <c r="B499" s="12"/>
      <c r="C499" s="12"/>
      <c r="D499" s="12"/>
      <c r="E499" s="12"/>
      <c r="F499" s="13"/>
      <c r="G499" s="13"/>
      <c r="H499" s="13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3.5" customHeight="1">
      <c r="A500" s="12"/>
      <c r="B500" s="12"/>
      <c r="C500" s="12"/>
      <c r="D500" s="12"/>
      <c r="E500" s="12"/>
      <c r="F500" s="13"/>
      <c r="G500" s="13"/>
      <c r="H500" s="13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3.5" customHeight="1">
      <c r="A501" s="12"/>
      <c r="B501" s="12"/>
      <c r="C501" s="12"/>
      <c r="D501" s="12"/>
      <c r="E501" s="12"/>
      <c r="F501" s="13"/>
      <c r="G501" s="13"/>
      <c r="H501" s="13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3.5" customHeight="1">
      <c r="A502" s="12"/>
      <c r="B502" s="12"/>
      <c r="C502" s="12"/>
      <c r="D502" s="12"/>
      <c r="E502" s="12"/>
      <c r="F502" s="13"/>
      <c r="G502" s="13"/>
      <c r="H502" s="13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3.5" customHeight="1">
      <c r="A503" s="12"/>
      <c r="B503" s="12"/>
      <c r="C503" s="12"/>
      <c r="D503" s="12"/>
      <c r="E503" s="12"/>
      <c r="F503" s="13"/>
      <c r="G503" s="13"/>
      <c r="H503" s="13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3.5" customHeight="1">
      <c r="A504" s="12"/>
      <c r="B504" s="12"/>
      <c r="C504" s="12"/>
      <c r="D504" s="12"/>
      <c r="E504" s="12"/>
      <c r="F504" s="13"/>
      <c r="G504" s="13"/>
      <c r="H504" s="13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3.5" customHeight="1">
      <c r="A505" s="12"/>
      <c r="B505" s="12"/>
      <c r="C505" s="12"/>
      <c r="D505" s="12"/>
      <c r="E505" s="12"/>
      <c r="F505" s="13"/>
      <c r="G505" s="13"/>
      <c r="H505" s="13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3.5" customHeight="1">
      <c r="A506" s="12"/>
      <c r="B506" s="12"/>
      <c r="C506" s="12"/>
      <c r="D506" s="12"/>
      <c r="E506" s="12"/>
      <c r="F506" s="13"/>
      <c r="G506" s="13"/>
      <c r="H506" s="13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3.5" customHeight="1">
      <c r="A507" s="12"/>
      <c r="B507" s="12"/>
      <c r="C507" s="12"/>
      <c r="D507" s="12"/>
      <c r="E507" s="12"/>
      <c r="F507" s="13"/>
      <c r="G507" s="13"/>
      <c r="H507" s="13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3.5" customHeight="1">
      <c r="A508" s="12"/>
      <c r="B508" s="12"/>
      <c r="C508" s="12"/>
      <c r="D508" s="12"/>
      <c r="E508" s="12"/>
      <c r="F508" s="13"/>
      <c r="G508" s="13"/>
      <c r="H508" s="13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3.5" customHeight="1">
      <c r="A509" s="12"/>
      <c r="B509" s="12"/>
      <c r="C509" s="12"/>
      <c r="D509" s="12"/>
      <c r="E509" s="12"/>
      <c r="F509" s="13"/>
      <c r="G509" s="13"/>
      <c r="H509" s="13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3.5" customHeight="1">
      <c r="A510" s="12"/>
      <c r="B510" s="12"/>
      <c r="C510" s="12"/>
      <c r="D510" s="12"/>
      <c r="E510" s="12"/>
      <c r="F510" s="13"/>
      <c r="G510" s="13"/>
      <c r="H510" s="13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3.5" customHeight="1">
      <c r="A511" s="12"/>
      <c r="B511" s="12"/>
      <c r="C511" s="12"/>
      <c r="D511" s="12"/>
      <c r="E511" s="12"/>
      <c r="F511" s="13"/>
      <c r="G511" s="13"/>
      <c r="H511" s="13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3.5" customHeight="1">
      <c r="A512" s="12"/>
      <c r="B512" s="12"/>
      <c r="C512" s="12"/>
      <c r="D512" s="12"/>
      <c r="E512" s="12"/>
      <c r="F512" s="13"/>
      <c r="G512" s="13"/>
      <c r="H512" s="13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3.5" customHeight="1">
      <c r="A513" s="12"/>
      <c r="B513" s="12"/>
      <c r="C513" s="12"/>
      <c r="D513" s="12"/>
      <c r="E513" s="12"/>
      <c r="F513" s="13"/>
      <c r="G513" s="13"/>
      <c r="H513" s="13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3.5" customHeight="1">
      <c r="A514" s="12"/>
      <c r="B514" s="12"/>
      <c r="C514" s="12"/>
      <c r="D514" s="12"/>
      <c r="E514" s="12"/>
      <c r="F514" s="13"/>
      <c r="G514" s="13"/>
      <c r="H514" s="13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3.5" customHeight="1">
      <c r="A515" s="12"/>
      <c r="B515" s="12"/>
      <c r="C515" s="12"/>
      <c r="D515" s="12"/>
      <c r="E515" s="12"/>
      <c r="F515" s="13"/>
      <c r="G515" s="13"/>
      <c r="H515" s="13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3.5" customHeight="1">
      <c r="A516" s="12"/>
      <c r="B516" s="12"/>
      <c r="C516" s="12"/>
      <c r="D516" s="12"/>
      <c r="E516" s="12"/>
      <c r="F516" s="13"/>
      <c r="G516" s="13"/>
      <c r="H516" s="13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3.5" customHeight="1">
      <c r="A517" s="12"/>
      <c r="B517" s="12"/>
      <c r="C517" s="12"/>
      <c r="D517" s="12"/>
      <c r="E517" s="12"/>
      <c r="F517" s="13"/>
      <c r="G517" s="13"/>
      <c r="H517" s="13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3.5" customHeight="1">
      <c r="A518" s="12"/>
      <c r="B518" s="12"/>
      <c r="C518" s="12"/>
      <c r="D518" s="12"/>
      <c r="E518" s="12"/>
      <c r="F518" s="13"/>
      <c r="G518" s="13"/>
      <c r="H518" s="13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3.5" customHeight="1">
      <c r="A519" s="12"/>
      <c r="B519" s="12"/>
      <c r="C519" s="12"/>
      <c r="D519" s="12"/>
      <c r="E519" s="12"/>
      <c r="F519" s="13"/>
      <c r="G519" s="13"/>
      <c r="H519" s="13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3.5" customHeight="1">
      <c r="A520" s="12"/>
      <c r="B520" s="12"/>
      <c r="C520" s="12"/>
      <c r="D520" s="12"/>
      <c r="E520" s="12"/>
      <c r="F520" s="13"/>
      <c r="G520" s="13"/>
      <c r="H520" s="13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3.5" customHeight="1">
      <c r="A521" s="12"/>
      <c r="B521" s="12"/>
      <c r="C521" s="12"/>
      <c r="D521" s="12"/>
      <c r="E521" s="12"/>
      <c r="F521" s="13"/>
      <c r="G521" s="13"/>
      <c r="H521" s="13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3.5" customHeight="1">
      <c r="A522" s="12"/>
      <c r="B522" s="12"/>
      <c r="C522" s="12"/>
      <c r="D522" s="12"/>
      <c r="E522" s="12"/>
      <c r="F522" s="13"/>
      <c r="G522" s="13"/>
      <c r="H522" s="13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3.5" customHeight="1">
      <c r="A523" s="12"/>
      <c r="B523" s="12"/>
      <c r="C523" s="12"/>
      <c r="D523" s="12"/>
      <c r="E523" s="12"/>
      <c r="F523" s="13"/>
      <c r="G523" s="13"/>
      <c r="H523" s="13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3.5" customHeight="1">
      <c r="A524" s="12"/>
      <c r="B524" s="12"/>
      <c r="C524" s="12"/>
      <c r="D524" s="12"/>
      <c r="E524" s="12"/>
      <c r="F524" s="13"/>
      <c r="G524" s="13"/>
      <c r="H524" s="13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3.5" customHeight="1">
      <c r="A525" s="12"/>
      <c r="B525" s="12"/>
      <c r="C525" s="12"/>
      <c r="D525" s="12"/>
      <c r="E525" s="12"/>
      <c r="F525" s="13"/>
      <c r="G525" s="13"/>
      <c r="H525" s="13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3.5" customHeight="1">
      <c r="A526" s="12"/>
      <c r="B526" s="12"/>
      <c r="C526" s="12"/>
      <c r="D526" s="12"/>
      <c r="E526" s="12"/>
      <c r="F526" s="13"/>
      <c r="G526" s="13"/>
      <c r="H526" s="13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3.5" customHeight="1">
      <c r="A527" s="12"/>
      <c r="B527" s="12"/>
      <c r="C527" s="12"/>
      <c r="D527" s="12"/>
      <c r="E527" s="12"/>
      <c r="F527" s="13"/>
      <c r="G527" s="13"/>
      <c r="H527" s="13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3.5" customHeight="1">
      <c r="A528" s="12"/>
      <c r="B528" s="12"/>
      <c r="C528" s="12"/>
      <c r="D528" s="12"/>
      <c r="E528" s="12"/>
      <c r="F528" s="13"/>
      <c r="G528" s="13"/>
      <c r="H528" s="13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3.5" customHeight="1">
      <c r="A529" s="12"/>
      <c r="B529" s="12"/>
      <c r="C529" s="12"/>
      <c r="D529" s="12"/>
      <c r="E529" s="12"/>
      <c r="F529" s="13"/>
      <c r="G529" s="13"/>
      <c r="H529" s="13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3.5" customHeight="1">
      <c r="A530" s="12"/>
      <c r="B530" s="12"/>
      <c r="C530" s="12"/>
      <c r="D530" s="12"/>
      <c r="E530" s="12"/>
      <c r="F530" s="13"/>
      <c r="G530" s="13"/>
      <c r="H530" s="13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3.5" customHeight="1">
      <c r="A531" s="12"/>
      <c r="B531" s="12"/>
      <c r="C531" s="12"/>
      <c r="D531" s="12"/>
      <c r="E531" s="12"/>
      <c r="F531" s="13"/>
      <c r="G531" s="13"/>
      <c r="H531" s="13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3.5" customHeight="1">
      <c r="A532" s="12"/>
      <c r="B532" s="12"/>
      <c r="C532" s="12"/>
      <c r="D532" s="12"/>
      <c r="E532" s="12"/>
      <c r="F532" s="13"/>
      <c r="G532" s="13"/>
      <c r="H532" s="13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3.5" customHeight="1">
      <c r="A533" s="12"/>
      <c r="B533" s="12"/>
      <c r="C533" s="12"/>
      <c r="D533" s="12"/>
      <c r="E533" s="12"/>
      <c r="F533" s="13"/>
      <c r="G533" s="13"/>
      <c r="H533" s="13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3.5" customHeight="1">
      <c r="A534" s="12"/>
      <c r="B534" s="12"/>
      <c r="C534" s="12"/>
      <c r="D534" s="12"/>
      <c r="E534" s="12"/>
      <c r="F534" s="13"/>
      <c r="G534" s="13"/>
      <c r="H534" s="13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3.5" customHeight="1">
      <c r="A535" s="12"/>
      <c r="B535" s="12"/>
      <c r="C535" s="12"/>
      <c r="D535" s="12"/>
      <c r="E535" s="12"/>
      <c r="F535" s="13"/>
      <c r="G535" s="13"/>
      <c r="H535" s="13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3.5" customHeight="1">
      <c r="A536" s="12"/>
      <c r="B536" s="12"/>
      <c r="C536" s="12"/>
      <c r="D536" s="12"/>
      <c r="E536" s="12"/>
      <c r="F536" s="13"/>
      <c r="G536" s="13"/>
      <c r="H536" s="13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3.5" customHeight="1">
      <c r="A537" s="12"/>
      <c r="B537" s="12"/>
      <c r="C537" s="12"/>
      <c r="D537" s="12"/>
      <c r="E537" s="12"/>
      <c r="F537" s="13"/>
      <c r="G537" s="13"/>
      <c r="H537" s="13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3.5" customHeight="1">
      <c r="A538" s="12"/>
      <c r="B538" s="12"/>
      <c r="C538" s="12"/>
      <c r="D538" s="12"/>
      <c r="E538" s="12"/>
      <c r="F538" s="13"/>
      <c r="G538" s="13"/>
      <c r="H538" s="13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3.5" customHeight="1">
      <c r="A539" s="12"/>
      <c r="B539" s="12"/>
      <c r="C539" s="12"/>
      <c r="D539" s="12"/>
      <c r="E539" s="12"/>
      <c r="F539" s="13"/>
      <c r="G539" s="13"/>
      <c r="H539" s="13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3.5" customHeight="1">
      <c r="A540" s="12"/>
      <c r="B540" s="12"/>
      <c r="C540" s="12"/>
      <c r="D540" s="12"/>
      <c r="E540" s="12"/>
      <c r="F540" s="13"/>
      <c r="G540" s="13"/>
      <c r="H540" s="13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3.5" customHeight="1">
      <c r="A541" s="12"/>
      <c r="B541" s="12"/>
      <c r="C541" s="12"/>
      <c r="D541" s="12"/>
      <c r="E541" s="12"/>
      <c r="F541" s="13"/>
      <c r="G541" s="13"/>
      <c r="H541" s="13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3.5" customHeight="1">
      <c r="A542" s="12"/>
      <c r="B542" s="12"/>
      <c r="C542" s="12"/>
      <c r="D542" s="12"/>
      <c r="E542" s="12"/>
      <c r="F542" s="13"/>
      <c r="G542" s="13"/>
      <c r="H542" s="13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3.5" customHeight="1">
      <c r="A543" s="12"/>
      <c r="B543" s="12"/>
      <c r="C543" s="12"/>
      <c r="D543" s="12"/>
      <c r="E543" s="12"/>
      <c r="F543" s="13"/>
      <c r="G543" s="13"/>
      <c r="H543" s="13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3.5" customHeight="1">
      <c r="A544" s="12"/>
      <c r="B544" s="12"/>
      <c r="C544" s="12"/>
      <c r="D544" s="12"/>
      <c r="E544" s="12"/>
      <c r="F544" s="13"/>
      <c r="G544" s="13"/>
      <c r="H544" s="13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3.5" customHeight="1">
      <c r="A545" s="12"/>
      <c r="B545" s="12"/>
      <c r="C545" s="12"/>
      <c r="D545" s="12"/>
      <c r="E545" s="12"/>
      <c r="F545" s="13"/>
      <c r="G545" s="13"/>
      <c r="H545" s="13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3.5" customHeight="1">
      <c r="A546" s="12"/>
      <c r="B546" s="12"/>
      <c r="C546" s="12"/>
      <c r="D546" s="12"/>
      <c r="E546" s="12"/>
      <c r="F546" s="13"/>
      <c r="G546" s="13"/>
      <c r="H546" s="13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3.5" customHeight="1">
      <c r="A547" s="12"/>
      <c r="B547" s="12"/>
      <c r="C547" s="12"/>
      <c r="D547" s="12"/>
      <c r="E547" s="12"/>
      <c r="F547" s="13"/>
      <c r="G547" s="13"/>
      <c r="H547" s="13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3.5" customHeight="1">
      <c r="A548" s="12"/>
      <c r="B548" s="12"/>
      <c r="C548" s="12"/>
      <c r="D548" s="12"/>
      <c r="E548" s="12"/>
      <c r="F548" s="13"/>
      <c r="G548" s="13"/>
      <c r="H548" s="13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3.5" customHeight="1">
      <c r="A549" s="12"/>
      <c r="B549" s="12"/>
      <c r="C549" s="12"/>
      <c r="D549" s="12"/>
      <c r="E549" s="12"/>
      <c r="F549" s="13"/>
      <c r="G549" s="13"/>
      <c r="H549" s="13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3.5" customHeight="1">
      <c r="A550" s="12"/>
      <c r="B550" s="12"/>
      <c r="C550" s="12"/>
      <c r="D550" s="12"/>
      <c r="E550" s="12"/>
      <c r="F550" s="13"/>
      <c r="G550" s="13"/>
      <c r="H550" s="13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3.5" customHeight="1">
      <c r="A551" s="12"/>
      <c r="B551" s="12"/>
      <c r="C551" s="12"/>
      <c r="D551" s="12"/>
      <c r="E551" s="12"/>
      <c r="F551" s="13"/>
      <c r="G551" s="13"/>
      <c r="H551" s="13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3.5" customHeight="1">
      <c r="A552" s="12"/>
      <c r="B552" s="12"/>
      <c r="C552" s="12"/>
      <c r="D552" s="12"/>
      <c r="E552" s="12"/>
      <c r="F552" s="13"/>
      <c r="G552" s="13"/>
      <c r="H552" s="13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3.5" customHeight="1">
      <c r="A553" s="12"/>
      <c r="B553" s="12"/>
      <c r="C553" s="12"/>
      <c r="D553" s="12"/>
      <c r="E553" s="12"/>
      <c r="F553" s="13"/>
      <c r="G553" s="13"/>
      <c r="H553" s="13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3.5" customHeight="1">
      <c r="A554" s="12"/>
      <c r="B554" s="12"/>
      <c r="C554" s="12"/>
      <c r="D554" s="12"/>
      <c r="E554" s="12"/>
      <c r="F554" s="13"/>
      <c r="G554" s="13"/>
      <c r="H554" s="13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3.5" customHeight="1">
      <c r="A555" s="12"/>
      <c r="B555" s="12"/>
      <c r="C555" s="12"/>
      <c r="D555" s="12"/>
      <c r="E555" s="12"/>
      <c r="F555" s="13"/>
      <c r="G555" s="13"/>
      <c r="H555" s="13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3.5" customHeight="1">
      <c r="A556" s="12"/>
      <c r="B556" s="12"/>
      <c r="C556" s="12"/>
      <c r="D556" s="12"/>
      <c r="E556" s="12"/>
      <c r="F556" s="13"/>
      <c r="G556" s="13"/>
      <c r="H556" s="13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3.5" customHeight="1">
      <c r="A557" s="12"/>
      <c r="B557" s="12"/>
      <c r="C557" s="12"/>
      <c r="D557" s="12"/>
      <c r="E557" s="12"/>
      <c r="F557" s="13"/>
      <c r="G557" s="13"/>
      <c r="H557" s="13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3.5" customHeight="1">
      <c r="A558" s="12"/>
      <c r="B558" s="12"/>
      <c r="C558" s="12"/>
      <c r="D558" s="12"/>
      <c r="E558" s="12"/>
      <c r="F558" s="13"/>
      <c r="G558" s="13"/>
      <c r="H558" s="13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3.5" customHeight="1">
      <c r="A559" s="12"/>
      <c r="B559" s="12"/>
      <c r="C559" s="12"/>
      <c r="D559" s="12"/>
      <c r="E559" s="12"/>
      <c r="F559" s="13"/>
      <c r="G559" s="13"/>
      <c r="H559" s="13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3.5" customHeight="1">
      <c r="A560" s="12"/>
      <c r="B560" s="12"/>
      <c r="C560" s="12"/>
      <c r="D560" s="12"/>
      <c r="E560" s="12"/>
      <c r="F560" s="13"/>
      <c r="G560" s="13"/>
      <c r="H560" s="13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3.5" customHeight="1">
      <c r="A561" s="12"/>
      <c r="B561" s="12"/>
      <c r="C561" s="12"/>
      <c r="D561" s="12"/>
      <c r="E561" s="12"/>
      <c r="F561" s="13"/>
      <c r="G561" s="13"/>
      <c r="H561" s="13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3.5" customHeight="1">
      <c r="A562" s="12"/>
      <c r="B562" s="12"/>
      <c r="C562" s="12"/>
      <c r="D562" s="12"/>
      <c r="E562" s="12"/>
      <c r="F562" s="13"/>
      <c r="G562" s="13"/>
      <c r="H562" s="13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3.5" customHeight="1">
      <c r="A563" s="12"/>
      <c r="B563" s="12"/>
      <c r="C563" s="12"/>
      <c r="D563" s="12"/>
      <c r="E563" s="12"/>
      <c r="F563" s="13"/>
      <c r="G563" s="13"/>
      <c r="H563" s="13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3.5" customHeight="1">
      <c r="A564" s="12"/>
      <c r="B564" s="12"/>
      <c r="C564" s="12"/>
      <c r="D564" s="12"/>
      <c r="E564" s="12"/>
      <c r="F564" s="13"/>
      <c r="G564" s="13"/>
      <c r="H564" s="13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3.5" customHeight="1">
      <c r="A565" s="12"/>
      <c r="B565" s="12"/>
      <c r="C565" s="12"/>
      <c r="D565" s="12"/>
      <c r="E565" s="12"/>
      <c r="F565" s="13"/>
      <c r="G565" s="13"/>
      <c r="H565" s="13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3.5" customHeight="1">
      <c r="A566" s="12"/>
      <c r="B566" s="12"/>
      <c r="C566" s="12"/>
      <c r="D566" s="12"/>
      <c r="E566" s="12"/>
      <c r="F566" s="13"/>
      <c r="G566" s="13"/>
      <c r="H566" s="13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3.5" customHeight="1">
      <c r="A567" s="12"/>
      <c r="B567" s="12"/>
      <c r="C567" s="12"/>
      <c r="D567" s="12"/>
      <c r="E567" s="12"/>
      <c r="F567" s="13"/>
      <c r="G567" s="13"/>
      <c r="H567" s="13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3.5" customHeight="1">
      <c r="A568" s="12"/>
      <c r="B568" s="12"/>
      <c r="C568" s="12"/>
      <c r="D568" s="12"/>
      <c r="E568" s="12"/>
      <c r="F568" s="13"/>
      <c r="G568" s="13"/>
      <c r="H568" s="13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3.5" customHeight="1">
      <c r="A569" s="12"/>
      <c r="B569" s="12"/>
      <c r="C569" s="12"/>
      <c r="D569" s="12"/>
      <c r="E569" s="12"/>
      <c r="F569" s="13"/>
      <c r="G569" s="13"/>
      <c r="H569" s="13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3.5" customHeight="1">
      <c r="A570" s="12"/>
      <c r="B570" s="12"/>
      <c r="C570" s="12"/>
      <c r="D570" s="12"/>
      <c r="E570" s="12"/>
      <c r="F570" s="13"/>
      <c r="G570" s="13"/>
      <c r="H570" s="13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3.5" customHeight="1">
      <c r="A571" s="12"/>
      <c r="B571" s="12"/>
      <c r="C571" s="12"/>
      <c r="D571" s="12"/>
      <c r="E571" s="12"/>
      <c r="F571" s="13"/>
      <c r="G571" s="13"/>
      <c r="H571" s="13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3.5" customHeight="1">
      <c r="A572" s="12"/>
      <c r="B572" s="12"/>
      <c r="C572" s="12"/>
      <c r="D572" s="12"/>
      <c r="E572" s="12"/>
      <c r="F572" s="13"/>
      <c r="G572" s="13"/>
      <c r="H572" s="13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3.5" customHeight="1">
      <c r="A573" s="12"/>
      <c r="B573" s="12"/>
      <c r="C573" s="12"/>
      <c r="D573" s="12"/>
      <c r="E573" s="12"/>
      <c r="F573" s="13"/>
      <c r="G573" s="13"/>
      <c r="H573" s="13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3.5" customHeight="1">
      <c r="A574" s="12"/>
      <c r="B574" s="12"/>
      <c r="C574" s="12"/>
      <c r="D574" s="12"/>
      <c r="E574" s="12"/>
      <c r="F574" s="13"/>
      <c r="G574" s="13"/>
      <c r="H574" s="13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3.5" customHeight="1">
      <c r="A575" s="12"/>
      <c r="B575" s="12"/>
      <c r="C575" s="12"/>
      <c r="D575" s="12"/>
      <c r="E575" s="12"/>
      <c r="F575" s="13"/>
      <c r="G575" s="13"/>
      <c r="H575" s="13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3.5" customHeight="1">
      <c r="A576" s="12"/>
      <c r="B576" s="12"/>
      <c r="C576" s="12"/>
      <c r="D576" s="12"/>
      <c r="E576" s="12"/>
      <c r="F576" s="13"/>
      <c r="G576" s="13"/>
      <c r="H576" s="13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3.5" customHeight="1">
      <c r="A577" s="12"/>
      <c r="B577" s="12"/>
      <c r="C577" s="12"/>
      <c r="D577" s="12"/>
      <c r="E577" s="12"/>
      <c r="F577" s="13"/>
      <c r="G577" s="13"/>
      <c r="H577" s="13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3.5" customHeight="1">
      <c r="A578" s="12"/>
      <c r="B578" s="12"/>
      <c r="C578" s="12"/>
      <c r="D578" s="12"/>
      <c r="E578" s="12"/>
      <c r="F578" s="13"/>
      <c r="G578" s="13"/>
      <c r="H578" s="13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3.5" customHeight="1">
      <c r="A579" s="12"/>
      <c r="B579" s="12"/>
      <c r="C579" s="12"/>
      <c r="D579" s="12"/>
      <c r="E579" s="12"/>
      <c r="F579" s="13"/>
      <c r="G579" s="13"/>
      <c r="H579" s="13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3.5" customHeight="1">
      <c r="A580" s="12"/>
      <c r="B580" s="12"/>
      <c r="C580" s="12"/>
      <c r="D580" s="12"/>
      <c r="E580" s="12"/>
      <c r="F580" s="13"/>
      <c r="G580" s="13"/>
      <c r="H580" s="13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3.5" customHeight="1">
      <c r="A581" s="12"/>
      <c r="B581" s="12"/>
      <c r="C581" s="12"/>
      <c r="D581" s="12"/>
      <c r="E581" s="12"/>
      <c r="F581" s="13"/>
      <c r="G581" s="13"/>
      <c r="H581" s="13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3.5" customHeight="1">
      <c r="A582" s="12"/>
      <c r="B582" s="12"/>
      <c r="C582" s="12"/>
      <c r="D582" s="12"/>
      <c r="E582" s="12"/>
      <c r="F582" s="13"/>
      <c r="G582" s="13"/>
      <c r="H582" s="13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3.5" customHeight="1">
      <c r="A583" s="12"/>
      <c r="B583" s="12"/>
      <c r="C583" s="12"/>
      <c r="D583" s="12"/>
      <c r="E583" s="12"/>
      <c r="F583" s="13"/>
      <c r="G583" s="13"/>
      <c r="H583" s="13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3.5" customHeight="1">
      <c r="A584" s="12"/>
      <c r="B584" s="12"/>
      <c r="C584" s="12"/>
      <c r="D584" s="12"/>
      <c r="E584" s="12"/>
      <c r="F584" s="13"/>
      <c r="G584" s="13"/>
      <c r="H584" s="13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3.5" customHeight="1">
      <c r="A585" s="12"/>
      <c r="B585" s="12"/>
      <c r="C585" s="12"/>
      <c r="D585" s="12"/>
      <c r="E585" s="12"/>
      <c r="F585" s="13"/>
      <c r="G585" s="13"/>
      <c r="H585" s="13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3.5" customHeight="1">
      <c r="A586" s="12"/>
      <c r="B586" s="12"/>
      <c r="C586" s="12"/>
      <c r="D586" s="12"/>
      <c r="E586" s="12"/>
      <c r="F586" s="13"/>
      <c r="G586" s="13"/>
      <c r="H586" s="13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3.5" customHeight="1">
      <c r="A587" s="12"/>
      <c r="B587" s="12"/>
      <c r="C587" s="12"/>
      <c r="D587" s="12"/>
      <c r="E587" s="12"/>
      <c r="F587" s="13"/>
      <c r="G587" s="13"/>
      <c r="H587" s="13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3.5" customHeight="1">
      <c r="A588" s="12"/>
      <c r="B588" s="12"/>
      <c r="C588" s="12"/>
      <c r="D588" s="12"/>
      <c r="E588" s="12"/>
      <c r="F588" s="13"/>
      <c r="G588" s="13"/>
      <c r="H588" s="13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3.5" customHeight="1">
      <c r="A589" s="12"/>
      <c r="B589" s="12"/>
      <c r="C589" s="12"/>
      <c r="D589" s="12"/>
      <c r="E589" s="12"/>
      <c r="F589" s="13"/>
      <c r="G589" s="13"/>
      <c r="H589" s="13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3.5" customHeight="1">
      <c r="A590" s="12"/>
      <c r="B590" s="12"/>
      <c r="C590" s="12"/>
      <c r="D590" s="12"/>
      <c r="E590" s="12"/>
      <c r="F590" s="13"/>
      <c r="G590" s="13"/>
      <c r="H590" s="13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3.5" customHeight="1">
      <c r="A591" s="12"/>
      <c r="B591" s="12"/>
      <c r="C591" s="12"/>
      <c r="D591" s="12"/>
      <c r="E591" s="12"/>
      <c r="F591" s="13"/>
      <c r="G591" s="13"/>
      <c r="H591" s="13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3.5" customHeight="1">
      <c r="A592" s="12"/>
      <c r="B592" s="12"/>
      <c r="C592" s="12"/>
      <c r="D592" s="12"/>
      <c r="E592" s="12"/>
      <c r="F592" s="13"/>
      <c r="G592" s="13"/>
      <c r="H592" s="13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3.5" customHeight="1">
      <c r="A593" s="12"/>
      <c r="B593" s="12"/>
      <c r="C593" s="12"/>
      <c r="D593" s="12"/>
      <c r="E593" s="12"/>
      <c r="F593" s="13"/>
      <c r="G593" s="13"/>
      <c r="H593" s="13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3.5" customHeight="1">
      <c r="A594" s="12"/>
      <c r="B594" s="12"/>
      <c r="C594" s="12"/>
      <c r="D594" s="12"/>
      <c r="E594" s="12"/>
      <c r="F594" s="13"/>
      <c r="G594" s="13"/>
      <c r="H594" s="13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3.5" customHeight="1">
      <c r="A595" s="12"/>
      <c r="B595" s="12"/>
      <c r="C595" s="12"/>
      <c r="D595" s="12"/>
      <c r="E595" s="12"/>
      <c r="F595" s="13"/>
      <c r="G595" s="13"/>
      <c r="H595" s="13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3.5" customHeight="1">
      <c r="A596" s="12"/>
      <c r="B596" s="12"/>
      <c r="C596" s="12"/>
      <c r="D596" s="12"/>
      <c r="E596" s="12"/>
      <c r="F596" s="13"/>
      <c r="G596" s="13"/>
      <c r="H596" s="13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3.5" customHeight="1">
      <c r="A597" s="12"/>
      <c r="B597" s="12"/>
      <c r="C597" s="12"/>
      <c r="D597" s="12"/>
      <c r="E597" s="12"/>
      <c r="F597" s="13"/>
      <c r="G597" s="13"/>
      <c r="H597" s="13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3.5" customHeight="1">
      <c r="A598" s="12"/>
      <c r="B598" s="12"/>
      <c r="C598" s="12"/>
      <c r="D598" s="12"/>
      <c r="E598" s="12"/>
      <c r="F598" s="13"/>
      <c r="G598" s="13"/>
      <c r="H598" s="13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3.5" customHeight="1">
      <c r="A599" s="12"/>
      <c r="B599" s="12"/>
      <c r="C599" s="12"/>
      <c r="D599" s="12"/>
      <c r="E599" s="12"/>
      <c r="F599" s="13"/>
      <c r="G599" s="13"/>
      <c r="H599" s="13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3.5" customHeight="1">
      <c r="A600" s="12"/>
      <c r="B600" s="12"/>
      <c r="C600" s="12"/>
      <c r="D600" s="12"/>
      <c r="E600" s="12"/>
      <c r="F600" s="13"/>
      <c r="G600" s="13"/>
      <c r="H600" s="13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3.5" customHeight="1">
      <c r="A601" s="12"/>
      <c r="B601" s="12"/>
      <c r="C601" s="12"/>
      <c r="D601" s="12"/>
      <c r="E601" s="12"/>
      <c r="F601" s="13"/>
      <c r="G601" s="13"/>
      <c r="H601" s="13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3.5" customHeight="1">
      <c r="A602" s="12"/>
      <c r="B602" s="12"/>
      <c r="C602" s="12"/>
      <c r="D602" s="12"/>
      <c r="E602" s="12"/>
      <c r="F602" s="13"/>
      <c r="G602" s="13"/>
      <c r="H602" s="13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3.5" customHeight="1">
      <c r="A603" s="12"/>
      <c r="B603" s="12"/>
      <c r="C603" s="12"/>
      <c r="D603" s="12"/>
      <c r="E603" s="12"/>
      <c r="F603" s="13"/>
      <c r="G603" s="13"/>
      <c r="H603" s="13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3.5" customHeight="1">
      <c r="A604" s="12"/>
      <c r="B604" s="12"/>
      <c r="C604" s="12"/>
      <c r="D604" s="12"/>
      <c r="E604" s="12"/>
      <c r="F604" s="13"/>
      <c r="G604" s="13"/>
      <c r="H604" s="13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3.5" customHeight="1">
      <c r="A605" s="12"/>
      <c r="B605" s="12"/>
      <c r="C605" s="12"/>
      <c r="D605" s="12"/>
      <c r="E605" s="12"/>
      <c r="F605" s="13"/>
      <c r="G605" s="13"/>
      <c r="H605" s="13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3.5" customHeight="1">
      <c r="A606" s="12"/>
      <c r="B606" s="12"/>
      <c r="C606" s="12"/>
      <c r="D606" s="12"/>
      <c r="E606" s="12"/>
      <c r="F606" s="13"/>
      <c r="G606" s="13"/>
      <c r="H606" s="13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3.5" customHeight="1">
      <c r="A607" s="12"/>
      <c r="B607" s="12"/>
      <c r="C607" s="12"/>
      <c r="D607" s="12"/>
      <c r="E607" s="12"/>
      <c r="F607" s="13"/>
      <c r="G607" s="13"/>
      <c r="H607" s="13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3.5" customHeight="1">
      <c r="A608" s="12"/>
      <c r="B608" s="12"/>
      <c r="C608" s="12"/>
      <c r="D608" s="12"/>
      <c r="E608" s="12"/>
      <c r="F608" s="13"/>
      <c r="G608" s="13"/>
      <c r="H608" s="13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3.5" customHeight="1">
      <c r="A609" s="12"/>
      <c r="B609" s="12"/>
      <c r="C609" s="12"/>
      <c r="D609" s="12"/>
      <c r="E609" s="12"/>
      <c r="F609" s="13"/>
      <c r="G609" s="13"/>
      <c r="H609" s="13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3.5" customHeight="1">
      <c r="A610" s="12"/>
      <c r="B610" s="12"/>
      <c r="C610" s="12"/>
      <c r="D610" s="12"/>
      <c r="E610" s="12"/>
      <c r="F610" s="13"/>
      <c r="G610" s="13"/>
      <c r="H610" s="13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3.5" customHeight="1">
      <c r="A611" s="12"/>
      <c r="B611" s="12"/>
      <c r="C611" s="12"/>
      <c r="D611" s="12"/>
      <c r="E611" s="12"/>
      <c r="F611" s="13"/>
      <c r="G611" s="13"/>
      <c r="H611" s="13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3.5" customHeight="1">
      <c r="A612" s="12"/>
      <c r="B612" s="12"/>
      <c r="C612" s="12"/>
      <c r="D612" s="12"/>
      <c r="E612" s="12"/>
      <c r="F612" s="13"/>
      <c r="G612" s="13"/>
      <c r="H612" s="13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3.5" customHeight="1">
      <c r="A613" s="12"/>
      <c r="B613" s="12"/>
      <c r="C613" s="12"/>
      <c r="D613" s="12"/>
      <c r="E613" s="12"/>
      <c r="F613" s="13"/>
      <c r="G613" s="13"/>
      <c r="H613" s="13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3.5" customHeight="1">
      <c r="A614" s="12"/>
      <c r="B614" s="12"/>
      <c r="C614" s="12"/>
      <c r="D614" s="12"/>
      <c r="E614" s="12"/>
      <c r="F614" s="13"/>
      <c r="G614" s="13"/>
      <c r="H614" s="13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3.5" customHeight="1">
      <c r="A615" s="12"/>
      <c r="B615" s="12"/>
      <c r="C615" s="12"/>
      <c r="D615" s="12"/>
      <c r="E615" s="12"/>
      <c r="F615" s="13"/>
      <c r="G615" s="13"/>
      <c r="H615" s="13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3.5" customHeight="1">
      <c r="A616" s="12"/>
      <c r="B616" s="12"/>
      <c r="C616" s="12"/>
      <c r="D616" s="12"/>
      <c r="E616" s="12"/>
      <c r="F616" s="13"/>
      <c r="G616" s="13"/>
      <c r="H616" s="13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3.5" customHeight="1">
      <c r="A617" s="12"/>
      <c r="B617" s="12"/>
      <c r="C617" s="12"/>
      <c r="D617" s="12"/>
      <c r="E617" s="12"/>
      <c r="F617" s="13"/>
      <c r="G617" s="13"/>
      <c r="H617" s="13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3.5" customHeight="1">
      <c r="A618" s="12"/>
      <c r="B618" s="12"/>
      <c r="C618" s="12"/>
      <c r="D618" s="12"/>
      <c r="E618" s="12"/>
      <c r="F618" s="13"/>
      <c r="G618" s="13"/>
      <c r="H618" s="13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3.5" customHeight="1">
      <c r="A619" s="12"/>
      <c r="B619" s="12"/>
      <c r="C619" s="12"/>
      <c r="D619" s="12"/>
      <c r="E619" s="12"/>
      <c r="F619" s="13"/>
      <c r="G619" s="13"/>
      <c r="H619" s="13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3.5" customHeight="1">
      <c r="A620" s="12"/>
      <c r="B620" s="12"/>
      <c r="C620" s="12"/>
      <c r="D620" s="12"/>
      <c r="E620" s="12"/>
      <c r="F620" s="13"/>
      <c r="G620" s="13"/>
      <c r="H620" s="13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3.5" customHeight="1">
      <c r="A621" s="12"/>
      <c r="B621" s="12"/>
      <c r="C621" s="12"/>
      <c r="D621" s="12"/>
      <c r="E621" s="12"/>
      <c r="F621" s="13"/>
      <c r="G621" s="13"/>
      <c r="H621" s="13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3.5" customHeight="1">
      <c r="A622" s="12"/>
      <c r="B622" s="12"/>
      <c r="C622" s="12"/>
      <c r="D622" s="12"/>
      <c r="E622" s="12"/>
      <c r="F622" s="13"/>
      <c r="G622" s="13"/>
      <c r="H622" s="13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3.5" customHeight="1">
      <c r="A623" s="12"/>
      <c r="B623" s="12"/>
      <c r="C623" s="12"/>
      <c r="D623" s="12"/>
      <c r="E623" s="12"/>
      <c r="F623" s="13"/>
      <c r="G623" s="13"/>
      <c r="H623" s="13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3.5" customHeight="1">
      <c r="A624" s="12"/>
      <c r="B624" s="12"/>
      <c r="C624" s="12"/>
      <c r="D624" s="12"/>
      <c r="E624" s="12"/>
      <c r="F624" s="13"/>
      <c r="G624" s="13"/>
      <c r="H624" s="13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3.5" customHeight="1">
      <c r="A625" s="12"/>
      <c r="B625" s="12"/>
      <c r="C625" s="12"/>
      <c r="D625" s="12"/>
      <c r="E625" s="12"/>
      <c r="F625" s="13"/>
      <c r="G625" s="13"/>
      <c r="H625" s="13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3.5" customHeight="1">
      <c r="A626" s="12"/>
      <c r="B626" s="12"/>
      <c r="C626" s="12"/>
      <c r="D626" s="12"/>
      <c r="E626" s="12"/>
      <c r="F626" s="13"/>
      <c r="G626" s="13"/>
      <c r="H626" s="13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3.5" customHeight="1">
      <c r="A627" s="12"/>
      <c r="B627" s="12"/>
      <c r="C627" s="12"/>
      <c r="D627" s="12"/>
      <c r="E627" s="12"/>
      <c r="F627" s="13"/>
      <c r="G627" s="13"/>
      <c r="H627" s="13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3.5" customHeight="1">
      <c r="A628" s="12"/>
      <c r="B628" s="12"/>
      <c r="C628" s="12"/>
      <c r="D628" s="12"/>
      <c r="E628" s="12"/>
      <c r="F628" s="13"/>
      <c r="G628" s="13"/>
      <c r="H628" s="13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3.5" customHeight="1">
      <c r="A629" s="12"/>
      <c r="B629" s="12"/>
      <c r="C629" s="12"/>
      <c r="D629" s="12"/>
      <c r="E629" s="12"/>
      <c r="F629" s="13"/>
      <c r="G629" s="13"/>
      <c r="H629" s="13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3.5" customHeight="1">
      <c r="A630" s="12"/>
      <c r="B630" s="12"/>
      <c r="C630" s="12"/>
      <c r="D630" s="12"/>
      <c r="E630" s="12"/>
      <c r="F630" s="13"/>
      <c r="G630" s="13"/>
      <c r="H630" s="13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3.5" customHeight="1">
      <c r="A631" s="12"/>
      <c r="B631" s="12"/>
      <c r="C631" s="12"/>
      <c r="D631" s="12"/>
      <c r="E631" s="12"/>
      <c r="F631" s="13"/>
      <c r="G631" s="13"/>
      <c r="H631" s="13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3.5" customHeight="1">
      <c r="A632" s="12"/>
      <c r="B632" s="12"/>
      <c r="C632" s="12"/>
      <c r="D632" s="12"/>
      <c r="E632" s="12"/>
      <c r="F632" s="13"/>
      <c r="G632" s="13"/>
      <c r="H632" s="13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3.5" customHeight="1">
      <c r="A633" s="12"/>
      <c r="B633" s="12"/>
      <c r="C633" s="12"/>
      <c r="D633" s="12"/>
      <c r="E633" s="12"/>
      <c r="F633" s="13"/>
      <c r="G633" s="13"/>
      <c r="H633" s="13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3.5" customHeight="1">
      <c r="A634" s="12"/>
      <c r="B634" s="12"/>
      <c r="C634" s="12"/>
      <c r="D634" s="12"/>
      <c r="E634" s="12"/>
      <c r="F634" s="13"/>
      <c r="G634" s="13"/>
      <c r="H634" s="13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3.5" customHeight="1">
      <c r="A635" s="12"/>
      <c r="B635" s="12"/>
      <c r="C635" s="12"/>
      <c r="D635" s="12"/>
      <c r="E635" s="12"/>
      <c r="F635" s="13"/>
      <c r="G635" s="13"/>
      <c r="H635" s="13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3.5" customHeight="1">
      <c r="A636" s="12"/>
      <c r="B636" s="12"/>
      <c r="C636" s="12"/>
      <c r="D636" s="12"/>
      <c r="E636" s="12"/>
      <c r="F636" s="13"/>
      <c r="G636" s="13"/>
      <c r="H636" s="13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3.5" customHeight="1">
      <c r="A637" s="12"/>
      <c r="B637" s="12"/>
      <c r="C637" s="12"/>
      <c r="D637" s="12"/>
      <c r="E637" s="12"/>
      <c r="F637" s="13"/>
      <c r="G637" s="13"/>
      <c r="H637" s="13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3.5" customHeight="1">
      <c r="A638" s="12"/>
      <c r="B638" s="12"/>
      <c r="C638" s="12"/>
      <c r="D638" s="12"/>
      <c r="E638" s="12"/>
      <c r="F638" s="13"/>
      <c r="G638" s="13"/>
      <c r="H638" s="13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3.5" customHeight="1">
      <c r="A639" s="12"/>
      <c r="B639" s="12"/>
      <c r="C639" s="12"/>
      <c r="D639" s="12"/>
      <c r="E639" s="12"/>
      <c r="F639" s="13"/>
      <c r="G639" s="13"/>
      <c r="H639" s="13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3.5" customHeight="1">
      <c r="A640" s="12"/>
      <c r="B640" s="12"/>
      <c r="C640" s="12"/>
      <c r="D640" s="12"/>
      <c r="E640" s="12"/>
      <c r="F640" s="13"/>
      <c r="G640" s="13"/>
      <c r="H640" s="13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3.5" customHeight="1">
      <c r="A641" s="12"/>
      <c r="B641" s="12"/>
      <c r="C641" s="12"/>
      <c r="D641" s="12"/>
      <c r="E641" s="12"/>
      <c r="F641" s="13"/>
      <c r="G641" s="13"/>
      <c r="H641" s="13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3.5" customHeight="1">
      <c r="A642" s="12"/>
      <c r="B642" s="12"/>
      <c r="C642" s="12"/>
      <c r="D642" s="12"/>
      <c r="E642" s="12"/>
      <c r="F642" s="13"/>
      <c r="G642" s="13"/>
      <c r="H642" s="13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3.5" customHeight="1">
      <c r="A643" s="12"/>
      <c r="B643" s="12"/>
      <c r="C643" s="12"/>
      <c r="D643" s="12"/>
      <c r="E643" s="12"/>
      <c r="F643" s="13"/>
      <c r="G643" s="13"/>
      <c r="H643" s="13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3.5" customHeight="1">
      <c r="A644" s="12"/>
      <c r="B644" s="12"/>
      <c r="C644" s="12"/>
      <c r="D644" s="12"/>
      <c r="E644" s="12"/>
      <c r="F644" s="13"/>
      <c r="G644" s="13"/>
      <c r="H644" s="13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3.5" customHeight="1">
      <c r="A645" s="12"/>
      <c r="B645" s="12"/>
      <c r="C645" s="12"/>
      <c r="D645" s="12"/>
      <c r="E645" s="12"/>
      <c r="F645" s="13"/>
      <c r="G645" s="13"/>
      <c r="H645" s="13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3.5" customHeight="1">
      <c r="A646" s="12"/>
      <c r="B646" s="12"/>
      <c r="C646" s="12"/>
      <c r="D646" s="12"/>
      <c r="E646" s="12"/>
      <c r="F646" s="13"/>
      <c r="G646" s="13"/>
      <c r="H646" s="13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3.5" customHeight="1">
      <c r="A647" s="12"/>
      <c r="B647" s="12"/>
      <c r="C647" s="12"/>
      <c r="D647" s="12"/>
      <c r="E647" s="12"/>
      <c r="F647" s="13"/>
      <c r="G647" s="13"/>
      <c r="H647" s="13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3.5" customHeight="1">
      <c r="A648" s="12"/>
      <c r="B648" s="12"/>
      <c r="C648" s="12"/>
      <c r="D648" s="12"/>
      <c r="E648" s="12"/>
      <c r="F648" s="13"/>
      <c r="G648" s="13"/>
      <c r="H648" s="13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3.5" customHeight="1">
      <c r="A649" s="12"/>
      <c r="B649" s="12"/>
      <c r="C649" s="12"/>
      <c r="D649" s="12"/>
      <c r="E649" s="12"/>
      <c r="F649" s="13"/>
      <c r="G649" s="13"/>
      <c r="H649" s="13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3.5" customHeight="1">
      <c r="A650" s="12"/>
      <c r="B650" s="12"/>
      <c r="C650" s="12"/>
      <c r="D650" s="12"/>
      <c r="E650" s="12"/>
      <c r="F650" s="13"/>
      <c r="G650" s="13"/>
      <c r="H650" s="13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3.5" customHeight="1">
      <c r="A651" s="12"/>
      <c r="B651" s="12"/>
      <c r="C651" s="12"/>
      <c r="D651" s="12"/>
      <c r="E651" s="12"/>
      <c r="F651" s="13"/>
      <c r="G651" s="13"/>
      <c r="H651" s="13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3.5" customHeight="1">
      <c r="A652" s="12"/>
      <c r="B652" s="12"/>
      <c r="C652" s="12"/>
      <c r="D652" s="12"/>
      <c r="E652" s="12"/>
      <c r="F652" s="13"/>
      <c r="G652" s="13"/>
      <c r="H652" s="13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3.5" customHeight="1">
      <c r="A653" s="12"/>
      <c r="B653" s="12"/>
      <c r="C653" s="12"/>
      <c r="D653" s="12"/>
      <c r="E653" s="12"/>
      <c r="F653" s="13"/>
      <c r="G653" s="13"/>
      <c r="H653" s="13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3.5" customHeight="1">
      <c r="A654" s="12"/>
      <c r="B654" s="12"/>
      <c r="C654" s="12"/>
      <c r="D654" s="12"/>
      <c r="E654" s="12"/>
      <c r="F654" s="13"/>
      <c r="G654" s="13"/>
      <c r="H654" s="13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3.5" customHeight="1">
      <c r="A655" s="12"/>
      <c r="B655" s="12"/>
      <c r="C655" s="12"/>
      <c r="D655" s="12"/>
      <c r="E655" s="12"/>
      <c r="F655" s="13"/>
      <c r="G655" s="13"/>
      <c r="H655" s="13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3.5" customHeight="1">
      <c r="A656" s="12"/>
      <c r="B656" s="12"/>
      <c r="C656" s="12"/>
      <c r="D656" s="12"/>
      <c r="E656" s="12"/>
      <c r="F656" s="13"/>
      <c r="G656" s="13"/>
      <c r="H656" s="13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3.5" customHeight="1">
      <c r="A657" s="12"/>
      <c r="B657" s="12"/>
      <c r="C657" s="12"/>
      <c r="D657" s="12"/>
      <c r="E657" s="12"/>
      <c r="F657" s="13"/>
      <c r="G657" s="13"/>
      <c r="H657" s="13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3.5" customHeight="1">
      <c r="A658" s="12"/>
      <c r="B658" s="12"/>
      <c r="C658" s="12"/>
      <c r="D658" s="12"/>
      <c r="E658" s="12"/>
      <c r="F658" s="13"/>
      <c r="G658" s="13"/>
      <c r="H658" s="13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3.5" customHeight="1">
      <c r="A659" s="12"/>
      <c r="B659" s="12"/>
      <c r="C659" s="12"/>
      <c r="D659" s="12"/>
      <c r="E659" s="12"/>
      <c r="F659" s="13"/>
      <c r="G659" s="13"/>
      <c r="H659" s="13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3.5" customHeight="1">
      <c r="A660" s="12"/>
      <c r="B660" s="12"/>
      <c r="C660" s="12"/>
      <c r="D660" s="12"/>
      <c r="E660" s="12"/>
      <c r="F660" s="13"/>
      <c r="G660" s="13"/>
      <c r="H660" s="13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3.5" customHeight="1">
      <c r="A661" s="12"/>
      <c r="B661" s="12"/>
      <c r="C661" s="12"/>
      <c r="D661" s="12"/>
      <c r="E661" s="12"/>
      <c r="F661" s="13"/>
      <c r="G661" s="13"/>
      <c r="H661" s="13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3.5" customHeight="1">
      <c r="A662" s="12"/>
      <c r="B662" s="12"/>
      <c r="C662" s="12"/>
      <c r="D662" s="12"/>
      <c r="E662" s="12"/>
      <c r="F662" s="13"/>
      <c r="G662" s="13"/>
      <c r="H662" s="13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3.5" customHeight="1">
      <c r="A663" s="12"/>
      <c r="B663" s="12"/>
      <c r="C663" s="12"/>
      <c r="D663" s="12"/>
      <c r="E663" s="12"/>
      <c r="F663" s="13"/>
      <c r="G663" s="13"/>
      <c r="H663" s="13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3.5" customHeight="1">
      <c r="A664" s="12"/>
      <c r="B664" s="12"/>
      <c r="C664" s="12"/>
      <c r="D664" s="12"/>
      <c r="E664" s="12"/>
      <c r="F664" s="13"/>
      <c r="G664" s="13"/>
      <c r="H664" s="13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3.5" customHeight="1">
      <c r="A665" s="12"/>
      <c r="B665" s="12"/>
      <c r="C665" s="12"/>
      <c r="D665" s="12"/>
      <c r="E665" s="12"/>
      <c r="F665" s="13"/>
      <c r="G665" s="13"/>
      <c r="H665" s="13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3.5" customHeight="1">
      <c r="A666" s="12"/>
      <c r="B666" s="12"/>
      <c r="C666" s="12"/>
      <c r="D666" s="12"/>
      <c r="E666" s="12"/>
      <c r="F666" s="13"/>
      <c r="G666" s="13"/>
      <c r="H666" s="13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3.5" customHeight="1">
      <c r="A667" s="12"/>
      <c r="B667" s="12"/>
      <c r="C667" s="12"/>
      <c r="D667" s="12"/>
      <c r="E667" s="12"/>
      <c r="F667" s="13"/>
      <c r="G667" s="13"/>
      <c r="H667" s="13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3.5" customHeight="1">
      <c r="A668" s="12"/>
      <c r="B668" s="12"/>
      <c r="C668" s="12"/>
      <c r="D668" s="12"/>
      <c r="E668" s="12"/>
      <c r="F668" s="13"/>
      <c r="G668" s="13"/>
      <c r="H668" s="13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3.5" customHeight="1">
      <c r="A669" s="12"/>
      <c r="B669" s="12"/>
      <c r="C669" s="12"/>
      <c r="D669" s="12"/>
      <c r="E669" s="12"/>
      <c r="F669" s="13"/>
      <c r="G669" s="13"/>
      <c r="H669" s="13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3.5" customHeight="1">
      <c r="A670" s="12"/>
      <c r="B670" s="12"/>
      <c r="C670" s="12"/>
      <c r="D670" s="12"/>
      <c r="E670" s="12"/>
      <c r="F670" s="13"/>
      <c r="G670" s="13"/>
      <c r="H670" s="13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3.5" customHeight="1">
      <c r="A671" s="12"/>
      <c r="B671" s="12"/>
      <c r="C671" s="12"/>
      <c r="D671" s="12"/>
      <c r="E671" s="12"/>
      <c r="F671" s="13"/>
      <c r="G671" s="13"/>
      <c r="H671" s="13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3.5" customHeight="1">
      <c r="A672" s="12"/>
      <c r="B672" s="12"/>
      <c r="C672" s="12"/>
      <c r="D672" s="12"/>
      <c r="E672" s="12"/>
      <c r="F672" s="13"/>
      <c r="G672" s="13"/>
      <c r="H672" s="13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3.5" customHeight="1">
      <c r="A673" s="12"/>
      <c r="B673" s="12"/>
      <c r="C673" s="12"/>
      <c r="D673" s="12"/>
      <c r="E673" s="12"/>
      <c r="F673" s="13"/>
      <c r="G673" s="13"/>
      <c r="H673" s="13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3.5" customHeight="1">
      <c r="A674" s="12"/>
      <c r="B674" s="12"/>
      <c r="C674" s="12"/>
      <c r="D674" s="12"/>
      <c r="E674" s="12"/>
      <c r="F674" s="13"/>
      <c r="G674" s="13"/>
      <c r="H674" s="13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3.5" customHeight="1">
      <c r="A675" s="12"/>
      <c r="B675" s="12"/>
      <c r="C675" s="12"/>
      <c r="D675" s="12"/>
      <c r="E675" s="12"/>
      <c r="F675" s="13"/>
      <c r="G675" s="13"/>
      <c r="H675" s="13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3.5" customHeight="1">
      <c r="A676" s="12"/>
      <c r="B676" s="12"/>
      <c r="C676" s="12"/>
      <c r="D676" s="12"/>
      <c r="E676" s="12"/>
      <c r="F676" s="13"/>
      <c r="G676" s="13"/>
      <c r="H676" s="13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3.5" customHeight="1">
      <c r="A677" s="12"/>
      <c r="B677" s="12"/>
      <c r="C677" s="12"/>
      <c r="D677" s="12"/>
      <c r="E677" s="12"/>
      <c r="F677" s="13"/>
      <c r="G677" s="13"/>
      <c r="H677" s="13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3.5" customHeight="1">
      <c r="A678" s="12"/>
      <c r="B678" s="12"/>
      <c r="C678" s="12"/>
      <c r="D678" s="12"/>
      <c r="E678" s="12"/>
      <c r="F678" s="13"/>
      <c r="G678" s="13"/>
      <c r="H678" s="13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3.5" customHeight="1">
      <c r="A679" s="12"/>
      <c r="B679" s="12"/>
      <c r="C679" s="12"/>
      <c r="D679" s="12"/>
      <c r="E679" s="12"/>
      <c r="F679" s="13"/>
      <c r="G679" s="13"/>
      <c r="H679" s="13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3.5" customHeight="1">
      <c r="A680" s="12"/>
      <c r="B680" s="12"/>
      <c r="C680" s="12"/>
      <c r="D680" s="12"/>
      <c r="E680" s="12"/>
      <c r="F680" s="13"/>
      <c r="G680" s="13"/>
      <c r="H680" s="13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3.5" customHeight="1">
      <c r="A681" s="12"/>
      <c r="B681" s="12"/>
      <c r="C681" s="12"/>
      <c r="D681" s="12"/>
      <c r="E681" s="12"/>
      <c r="F681" s="13"/>
      <c r="G681" s="13"/>
      <c r="H681" s="13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3.5" customHeight="1">
      <c r="A682" s="12"/>
      <c r="B682" s="12"/>
      <c r="C682" s="12"/>
      <c r="D682" s="12"/>
      <c r="E682" s="12"/>
      <c r="F682" s="13"/>
      <c r="G682" s="13"/>
      <c r="H682" s="13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3.5" customHeight="1">
      <c r="A683" s="12"/>
      <c r="B683" s="12"/>
      <c r="C683" s="12"/>
      <c r="D683" s="12"/>
      <c r="E683" s="12"/>
      <c r="F683" s="13"/>
      <c r="G683" s="13"/>
      <c r="H683" s="13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3.5" customHeight="1">
      <c r="A684" s="12"/>
      <c r="B684" s="12"/>
      <c r="C684" s="12"/>
      <c r="D684" s="12"/>
      <c r="E684" s="12"/>
      <c r="F684" s="13"/>
      <c r="G684" s="13"/>
      <c r="H684" s="13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3.5" customHeight="1">
      <c r="A685" s="12"/>
      <c r="B685" s="12"/>
      <c r="C685" s="12"/>
      <c r="D685" s="12"/>
      <c r="E685" s="12"/>
      <c r="F685" s="13"/>
      <c r="G685" s="13"/>
      <c r="H685" s="13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3.5" customHeight="1">
      <c r="A686" s="12"/>
      <c r="B686" s="12"/>
      <c r="C686" s="12"/>
      <c r="D686" s="12"/>
      <c r="E686" s="12"/>
      <c r="F686" s="13"/>
      <c r="G686" s="13"/>
      <c r="H686" s="13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3.5" customHeight="1">
      <c r="A687" s="12"/>
      <c r="B687" s="12"/>
      <c r="C687" s="12"/>
      <c r="D687" s="12"/>
      <c r="E687" s="12"/>
      <c r="F687" s="13"/>
      <c r="G687" s="13"/>
      <c r="H687" s="13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3.5" customHeight="1">
      <c r="A688" s="12"/>
      <c r="B688" s="12"/>
      <c r="C688" s="12"/>
      <c r="D688" s="12"/>
      <c r="E688" s="12"/>
      <c r="F688" s="13"/>
      <c r="G688" s="13"/>
      <c r="H688" s="13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3.5" customHeight="1">
      <c r="A689" s="12"/>
      <c r="B689" s="12"/>
      <c r="C689" s="12"/>
      <c r="D689" s="12"/>
      <c r="E689" s="12"/>
      <c r="F689" s="13"/>
      <c r="G689" s="13"/>
      <c r="H689" s="13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3.5" customHeight="1">
      <c r="A690" s="12"/>
      <c r="B690" s="12"/>
      <c r="C690" s="12"/>
      <c r="D690" s="12"/>
      <c r="E690" s="12"/>
      <c r="F690" s="13"/>
      <c r="G690" s="13"/>
      <c r="H690" s="13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3.5" customHeight="1">
      <c r="A691" s="12"/>
      <c r="B691" s="12"/>
      <c r="C691" s="12"/>
      <c r="D691" s="12"/>
      <c r="E691" s="12"/>
      <c r="F691" s="13"/>
      <c r="G691" s="13"/>
      <c r="H691" s="13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3.5" customHeight="1">
      <c r="A692" s="12"/>
      <c r="B692" s="12"/>
      <c r="C692" s="12"/>
      <c r="D692" s="12"/>
      <c r="E692" s="12"/>
      <c r="F692" s="13"/>
      <c r="G692" s="13"/>
      <c r="H692" s="13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3.5" customHeight="1">
      <c r="A693" s="12"/>
      <c r="B693" s="12"/>
      <c r="C693" s="12"/>
      <c r="D693" s="12"/>
      <c r="E693" s="12"/>
      <c r="F693" s="13"/>
      <c r="G693" s="13"/>
      <c r="H693" s="13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3.5" customHeight="1">
      <c r="A694" s="12"/>
      <c r="B694" s="12"/>
      <c r="C694" s="12"/>
      <c r="D694" s="12"/>
      <c r="E694" s="12"/>
      <c r="F694" s="13"/>
      <c r="G694" s="13"/>
      <c r="H694" s="13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3.5" customHeight="1">
      <c r="A695" s="12"/>
      <c r="B695" s="12"/>
      <c r="C695" s="12"/>
      <c r="D695" s="12"/>
      <c r="E695" s="12"/>
      <c r="F695" s="13"/>
      <c r="G695" s="13"/>
      <c r="H695" s="13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3.5" customHeight="1">
      <c r="A696" s="12"/>
      <c r="B696" s="12"/>
      <c r="C696" s="12"/>
      <c r="D696" s="12"/>
      <c r="E696" s="12"/>
      <c r="F696" s="13"/>
      <c r="G696" s="13"/>
      <c r="H696" s="13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3.5" customHeight="1">
      <c r="A697" s="12"/>
      <c r="B697" s="12"/>
      <c r="C697" s="12"/>
      <c r="D697" s="12"/>
      <c r="E697" s="12"/>
      <c r="F697" s="13"/>
      <c r="G697" s="13"/>
      <c r="H697" s="13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3.5" customHeight="1">
      <c r="A698" s="12"/>
      <c r="B698" s="12"/>
      <c r="C698" s="12"/>
      <c r="D698" s="12"/>
      <c r="E698" s="12"/>
      <c r="F698" s="13"/>
      <c r="G698" s="13"/>
      <c r="H698" s="13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3.5" customHeight="1">
      <c r="A699" s="12"/>
      <c r="B699" s="12"/>
      <c r="C699" s="12"/>
      <c r="D699" s="12"/>
      <c r="E699" s="12"/>
      <c r="F699" s="13"/>
      <c r="G699" s="13"/>
      <c r="H699" s="13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3.5" customHeight="1">
      <c r="A700" s="12"/>
      <c r="B700" s="12"/>
      <c r="C700" s="12"/>
      <c r="D700" s="12"/>
      <c r="E700" s="12"/>
      <c r="F700" s="13"/>
      <c r="G700" s="13"/>
      <c r="H700" s="13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3.5" customHeight="1">
      <c r="A701" s="12"/>
      <c r="B701" s="12"/>
      <c r="C701" s="12"/>
      <c r="D701" s="12"/>
      <c r="E701" s="12"/>
      <c r="F701" s="13"/>
      <c r="G701" s="13"/>
      <c r="H701" s="13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3.5" customHeight="1">
      <c r="A702" s="12"/>
      <c r="B702" s="12"/>
      <c r="C702" s="12"/>
      <c r="D702" s="12"/>
      <c r="E702" s="12"/>
      <c r="F702" s="13"/>
      <c r="G702" s="13"/>
      <c r="H702" s="13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3.5" customHeight="1">
      <c r="A703" s="12"/>
      <c r="B703" s="12"/>
      <c r="C703" s="12"/>
      <c r="D703" s="12"/>
      <c r="E703" s="12"/>
      <c r="F703" s="13"/>
      <c r="G703" s="13"/>
      <c r="H703" s="13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3.5" customHeight="1">
      <c r="A704" s="12"/>
      <c r="B704" s="12"/>
      <c r="C704" s="12"/>
      <c r="D704" s="12"/>
      <c r="E704" s="12"/>
      <c r="F704" s="13"/>
      <c r="G704" s="13"/>
      <c r="H704" s="13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3.5" customHeight="1">
      <c r="A705" s="12"/>
      <c r="B705" s="12"/>
      <c r="C705" s="12"/>
      <c r="D705" s="12"/>
      <c r="E705" s="12"/>
      <c r="F705" s="13"/>
      <c r="G705" s="13"/>
      <c r="H705" s="13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3.5" customHeight="1">
      <c r="A706" s="12"/>
      <c r="B706" s="12"/>
      <c r="C706" s="12"/>
      <c r="D706" s="12"/>
      <c r="E706" s="12"/>
      <c r="F706" s="13"/>
      <c r="G706" s="13"/>
      <c r="H706" s="13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3.5" customHeight="1">
      <c r="A707" s="12"/>
      <c r="B707" s="12"/>
      <c r="C707" s="12"/>
      <c r="D707" s="12"/>
      <c r="E707" s="12"/>
      <c r="F707" s="13"/>
      <c r="G707" s="13"/>
      <c r="H707" s="13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3.5" customHeight="1">
      <c r="A708" s="12"/>
      <c r="B708" s="12"/>
      <c r="C708" s="12"/>
      <c r="D708" s="12"/>
      <c r="E708" s="12"/>
      <c r="F708" s="13"/>
      <c r="G708" s="13"/>
      <c r="H708" s="13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3.5" customHeight="1">
      <c r="A709" s="12"/>
      <c r="B709" s="12"/>
      <c r="C709" s="12"/>
      <c r="D709" s="12"/>
      <c r="E709" s="12"/>
      <c r="F709" s="13"/>
      <c r="G709" s="13"/>
      <c r="H709" s="13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3.5" customHeight="1">
      <c r="A710" s="12"/>
      <c r="B710" s="12"/>
      <c r="C710" s="12"/>
      <c r="D710" s="12"/>
      <c r="E710" s="12"/>
      <c r="F710" s="13"/>
      <c r="G710" s="13"/>
      <c r="H710" s="13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3.5" customHeight="1">
      <c r="A711" s="12"/>
      <c r="B711" s="12"/>
      <c r="C711" s="12"/>
      <c r="D711" s="12"/>
      <c r="E711" s="12"/>
      <c r="F711" s="13"/>
      <c r="G711" s="13"/>
      <c r="H711" s="13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3.5" customHeight="1">
      <c r="A712" s="12"/>
      <c r="B712" s="12"/>
      <c r="C712" s="12"/>
      <c r="D712" s="12"/>
      <c r="E712" s="12"/>
      <c r="F712" s="13"/>
      <c r="G712" s="13"/>
      <c r="H712" s="13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3.5" customHeight="1">
      <c r="A713" s="12"/>
      <c r="B713" s="12"/>
      <c r="C713" s="12"/>
      <c r="D713" s="12"/>
      <c r="E713" s="12"/>
      <c r="F713" s="13"/>
      <c r="G713" s="13"/>
      <c r="H713" s="13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3.5" customHeight="1">
      <c r="A714" s="12"/>
      <c r="B714" s="12"/>
      <c r="C714" s="12"/>
      <c r="D714" s="12"/>
      <c r="E714" s="12"/>
      <c r="F714" s="13"/>
      <c r="G714" s="13"/>
      <c r="H714" s="13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3.5" customHeight="1">
      <c r="A715" s="12"/>
      <c r="B715" s="12"/>
      <c r="C715" s="12"/>
      <c r="D715" s="12"/>
      <c r="E715" s="12"/>
      <c r="F715" s="13"/>
      <c r="G715" s="13"/>
      <c r="H715" s="13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3.5" customHeight="1">
      <c r="A716" s="12"/>
      <c r="B716" s="12"/>
      <c r="C716" s="12"/>
      <c r="D716" s="12"/>
      <c r="E716" s="12"/>
      <c r="F716" s="13"/>
      <c r="G716" s="13"/>
      <c r="H716" s="13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3.5" customHeight="1">
      <c r="A717" s="12"/>
      <c r="B717" s="12"/>
      <c r="C717" s="12"/>
      <c r="D717" s="12"/>
      <c r="E717" s="12"/>
      <c r="F717" s="13"/>
      <c r="G717" s="13"/>
      <c r="H717" s="13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3.5" customHeight="1">
      <c r="A718" s="12"/>
      <c r="B718" s="12"/>
      <c r="C718" s="12"/>
      <c r="D718" s="12"/>
      <c r="E718" s="12"/>
      <c r="F718" s="13"/>
      <c r="G718" s="13"/>
      <c r="H718" s="13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3.5" customHeight="1">
      <c r="A719" s="12"/>
      <c r="B719" s="12"/>
      <c r="C719" s="12"/>
      <c r="D719" s="12"/>
      <c r="E719" s="12"/>
      <c r="F719" s="13"/>
      <c r="G719" s="13"/>
      <c r="H719" s="13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3.5" customHeight="1">
      <c r="A720" s="12"/>
      <c r="B720" s="12"/>
      <c r="C720" s="12"/>
      <c r="D720" s="12"/>
      <c r="E720" s="12"/>
      <c r="F720" s="13"/>
      <c r="G720" s="13"/>
      <c r="H720" s="13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3.5" customHeight="1">
      <c r="A721" s="12"/>
      <c r="B721" s="12"/>
      <c r="C721" s="12"/>
      <c r="D721" s="12"/>
      <c r="E721" s="12"/>
      <c r="F721" s="13"/>
      <c r="G721" s="13"/>
      <c r="H721" s="13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3.5" customHeight="1">
      <c r="A722" s="12"/>
      <c r="B722" s="12"/>
      <c r="C722" s="12"/>
      <c r="D722" s="12"/>
      <c r="E722" s="12"/>
      <c r="F722" s="13"/>
      <c r="G722" s="13"/>
      <c r="H722" s="13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3.5" customHeight="1">
      <c r="A723" s="12"/>
      <c r="B723" s="12"/>
      <c r="C723" s="12"/>
      <c r="D723" s="12"/>
      <c r="E723" s="12"/>
      <c r="F723" s="13"/>
      <c r="G723" s="13"/>
      <c r="H723" s="13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3.5" customHeight="1">
      <c r="A724" s="12"/>
      <c r="B724" s="12"/>
      <c r="C724" s="12"/>
      <c r="D724" s="12"/>
      <c r="E724" s="12"/>
      <c r="F724" s="13"/>
      <c r="G724" s="13"/>
      <c r="H724" s="13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3.5" customHeight="1">
      <c r="A725" s="12"/>
      <c r="B725" s="12"/>
      <c r="C725" s="12"/>
      <c r="D725" s="12"/>
      <c r="E725" s="12"/>
      <c r="F725" s="13"/>
      <c r="G725" s="13"/>
      <c r="H725" s="13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3.5" customHeight="1">
      <c r="A726" s="12"/>
      <c r="B726" s="12"/>
      <c r="C726" s="12"/>
      <c r="D726" s="12"/>
      <c r="E726" s="12"/>
      <c r="F726" s="13"/>
      <c r="G726" s="13"/>
      <c r="H726" s="13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3.5" customHeight="1">
      <c r="A727" s="12"/>
      <c r="B727" s="12"/>
      <c r="C727" s="12"/>
      <c r="D727" s="12"/>
      <c r="E727" s="12"/>
      <c r="F727" s="13"/>
      <c r="G727" s="13"/>
      <c r="H727" s="13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3.5" customHeight="1">
      <c r="A728" s="12"/>
      <c r="B728" s="12"/>
      <c r="C728" s="12"/>
      <c r="D728" s="12"/>
      <c r="E728" s="12"/>
      <c r="F728" s="13"/>
      <c r="G728" s="13"/>
      <c r="H728" s="13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3.5" customHeight="1">
      <c r="A729" s="12"/>
      <c r="B729" s="12"/>
      <c r="C729" s="12"/>
      <c r="D729" s="12"/>
      <c r="E729" s="12"/>
      <c r="F729" s="13"/>
      <c r="G729" s="13"/>
      <c r="H729" s="13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3.5" customHeight="1">
      <c r="A730" s="12"/>
      <c r="B730" s="12"/>
      <c r="C730" s="12"/>
      <c r="D730" s="12"/>
      <c r="E730" s="12"/>
      <c r="F730" s="13"/>
      <c r="G730" s="13"/>
      <c r="H730" s="13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3.5" customHeight="1">
      <c r="A731" s="12"/>
      <c r="B731" s="12"/>
      <c r="C731" s="12"/>
      <c r="D731" s="12"/>
      <c r="E731" s="12"/>
      <c r="F731" s="13"/>
      <c r="G731" s="13"/>
      <c r="H731" s="13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3.5" customHeight="1">
      <c r="A732" s="12"/>
      <c r="B732" s="12"/>
      <c r="C732" s="12"/>
      <c r="D732" s="12"/>
      <c r="E732" s="12"/>
      <c r="F732" s="13"/>
      <c r="G732" s="13"/>
      <c r="H732" s="13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3.5" customHeight="1">
      <c r="A733" s="12"/>
      <c r="B733" s="12"/>
      <c r="C733" s="12"/>
      <c r="D733" s="12"/>
      <c r="E733" s="12"/>
      <c r="F733" s="13"/>
      <c r="G733" s="13"/>
      <c r="H733" s="13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3.5" customHeight="1">
      <c r="A734" s="12"/>
      <c r="B734" s="12"/>
      <c r="C734" s="12"/>
      <c r="D734" s="12"/>
      <c r="E734" s="12"/>
      <c r="F734" s="13"/>
      <c r="G734" s="13"/>
      <c r="H734" s="13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3.5" customHeight="1">
      <c r="A735" s="12"/>
      <c r="B735" s="12"/>
      <c r="C735" s="12"/>
      <c r="D735" s="12"/>
      <c r="E735" s="12"/>
      <c r="F735" s="13"/>
      <c r="G735" s="13"/>
      <c r="H735" s="13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3.5" customHeight="1">
      <c r="A736" s="12"/>
      <c r="B736" s="12"/>
      <c r="C736" s="12"/>
      <c r="D736" s="12"/>
      <c r="E736" s="12"/>
      <c r="F736" s="13"/>
      <c r="G736" s="13"/>
      <c r="H736" s="13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3.5" customHeight="1">
      <c r="A737" s="12"/>
      <c r="B737" s="12"/>
      <c r="C737" s="12"/>
      <c r="D737" s="12"/>
      <c r="E737" s="12"/>
      <c r="F737" s="13"/>
      <c r="G737" s="13"/>
      <c r="H737" s="13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3.5" customHeight="1">
      <c r="A738" s="12"/>
      <c r="B738" s="12"/>
      <c r="C738" s="12"/>
      <c r="D738" s="12"/>
      <c r="E738" s="12"/>
      <c r="F738" s="13"/>
      <c r="G738" s="13"/>
      <c r="H738" s="13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3.5" customHeight="1">
      <c r="A739" s="12"/>
      <c r="B739" s="12"/>
      <c r="C739" s="12"/>
      <c r="D739" s="12"/>
      <c r="E739" s="12"/>
      <c r="F739" s="13"/>
      <c r="G739" s="13"/>
      <c r="H739" s="13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3.5" customHeight="1">
      <c r="A740" s="12"/>
      <c r="B740" s="12"/>
      <c r="C740" s="12"/>
      <c r="D740" s="12"/>
      <c r="E740" s="12"/>
      <c r="F740" s="13"/>
      <c r="G740" s="13"/>
      <c r="H740" s="13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3.5" customHeight="1">
      <c r="A741" s="12"/>
      <c r="B741" s="12"/>
      <c r="C741" s="12"/>
      <c r="D741" s="12"/>
      <c r="E741" s="12"/>
      <c r="F741" s="13"/>
      <c r="G741" s="13"/>
      <c r="H741" s="13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3.5" customHeight="1">
      <c r="A742" s="12"/>
      <c r="B742" s="12"/>
      <c r="C742" s="12"/>
      <c r="D742" s="12"/>
      <c r="E742" s="12"/>
      <c r="F742" s="13"/>
      <c r="G742" s="13"/>
      <c r="H742" s="13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3.5" customHeight="1">
      <c r="A743" s="12"/>
      <c r="B743" s="12"/>
      <c r="C743" s="12"/>
      <c r="D743" s="12"/>
      <c r="E743" s="12"/>
      <c r="F743" s="13"/>
      <c r="G743" s="13"/>
      <c r="H743" s="13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3.5" customHeight="1">
      <c r="A744" s="12"/>
      <c r="B744" s="12"/>
      <c r="C744" s="12"/>
      <c r="D744" s="12"/>
      <c r="E744" s="12"/>
      <c r="F744" s="13"/>
      <c r="G744" s="13"/>
      <c r="H744" s="13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3.5" customHeight="1">
      <c r="A745" s="12"/>
      <c r="B745" s="12"/>
      <c r="C745" s="12"/>
      <c r="D745" s="12"/>
      <c r="E745" s="12"/>
      <c r="F745" s="13"/>
      <c r="G745" s="13"/>
      <c r="H745" s="13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3.5" customHeight="1">
      <c r="A746" s="12"/>
      <c r="B746" s="12"/>
      <c r="C746" s="12"/>
      <c r="D746" s="12"/>
      <c r="E746" s="12"/>
      <c r="F746" s="13"/>
      <c r="G746" s="13"/>
      <c r="H746" s="13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3.5" customHeight="1">
      <c r="A747" s="12"/>
      <c r="B747" s="12"/>
      <c r="C747" s="12"/>
      <c r="D747" s="12"/>
      <c r="E747" s="12"/>
      <c r="F747" s="13"/>
      <c r="G747" s="13"/>
      <c r="H747" s="13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3.5" customHeight="1">
      <c r="A748" s="12"/>
      <c r="B748" s="12"/>
      <c r="C748" s="12"/>
      <c r="D748" s="12"/>
      <c r="E748" s="12"/>
      <c r="F748" s="13"/>
      <c r="G748" s="13"/>
      <c r="H748" s="13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3.5" customHeight="1">
      <c r="A749" s="12"/>
      <c r="B749" s="12"/>
      <c r="C749" s="12"/>
      <c r="D749" s="12"/>
      <c r="E749" s="12"/>
      <c r="F749" s="13"/>
      <c r="G749" s="13"/>
      <c r="H749" s="13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3.5" customHeight="1">
      <c r="A750" s="12"/>
      <c r="B750" s="12"/>
      <c r="C750" s="12"/>
      <c r="D750" s="12"/>
      <c r="E750" s="12"/>
      <c r="F750" s="13"/>
      <c r="G750" s="13"/>
      <c r="H750" s="13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3.5" customHeight="1">
      <c r="A751" s="12"/>
      <c r="B751" s="12"/>
      <c r="C751" s="12"/>
      <c r="D751" s="12"/>
      <c r="E751" s="12"/>
      <c r="F751" s="13"/>
      <c r="G751" s="13"/>
      <c r="H751" s="13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3.5" customHeight="1">
      <c r="A752" s="12"/>
      <c r="B752" s="12"/>
      <c r="C752" s="12"/>
      <c r="D752" s="12"/>
      <c r="E752" s="12"/>
      <c r="F752" s="13"/>
      <c r="G752" s="13"/>
      <c r="H752" s="13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3.5" customHeight="1">
      <c r="A753" s="12"/>
      <c r="B753" s="12"/>
      <c r="C753" s="12"/>
      <c r="D753" s="12"/>
      <c r="E753" s="12"/>
      <c r="F753" s="13"/>
      <c r="G753" s="13"/>
      <c r="H753" s="13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3.5" customHeight="1">
      <c r="A754" s="12"/>
      <c r="B754" s="12"/>
      <c r="C754" s="12"/>
      <c r="D754" s="12"/>
      <c r="E754" s="12"/>
      <c r="F754" s="13"/>
      <c r="G754" s="13"/>
      <c r="H754" s="13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3.5" customHeight="1">
      <c r="A755" s="12"/>
      <c r="B755" s="12"/>
      <c r="C755" s="12"/>
      <c r="D755" s="12"/>
      <c r="E755" s="12"/>
      <c r="F755" s="13"/>
      <c r="G755" s="13"/>
      <c r="H755" s="13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3.5" customHeight="1">
      <c r="A756" s="12"/>
      <c r="B756" s="12"/>
      <c r="C756" s="12"/>
      <c r="D756" s="12"/>
      <c r="E756" s="12"/>
      <c r="F756" s="13"/>
      <c r="G756" s="13"/>
      <c r="H756" s="13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3.5" customHeight="1">
      <c r="A757" s="12"/>
      <c r="B757" s="12"/>
      <c r="C757" s="12"/>
      <c r="D757" s="12"/>
      <c r="E757" s="12"/>
      <c r="F757" s="13"/>
      <c r="G757" s="13"/>
      <c r="H757" s="13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3.5" customHeight="1">
      <c r="A758" s="12"/>
      <c r="B758" s="12"/>
      <c r="C758" s="12"/>
      <c r="D758" s="12"/>
      <c r="E758" s="12"/>
      <c r="F758" s="13"/>
      <c r="G758" s="13"/>
      <c r="H758" s="13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3.5" customHeight="1">
      <c r="A759" s="12"/>
      <c r="B759" s="12"/>
      <c r="C759" s="12"/>
      <c r="D759" s="12"/>
      <c r="E759" s="12"/>
      <c r="F759" s="13"/>
      <c r="G759" s="13"/>
      <c r="H759" s="13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3.5" customHeight="1">
      <c r="A760" s="12"/>
      <c r="B760" s="12"/>
      <c r="C760" s="12"/>
      <c r="D760" s="12"/>
      <c r="E760" s="12"/>
      <c r="F760" s="13"/>
      <c r="G760" s="13"/>
      <c r="H760" s="13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3.5" customHeight="1">
      <c r="A761" s="12"/>
      <c r="B761" s="12"/>
      <c r="C761" s="12"/>
      <c r="D761" s="12"/>
      <c r="E761" s="12"/>
      <c r="F761" s="13"/>
      <c r="G761" s="13"/>
      <c r="H761" s="13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3.5" customHeight="1">
      <c r="A762" s="12"/>
      <c r="B762" s="12"/>
      <c r="C762" s="12"/>
      <c r="D762" s="12"/>
      <c r="E762" s="12"/>
      <c r="F762" s="13"/>
      <c r="G762" s="13"/>
      <c r="H762" s="13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3.5" customHeight="1">
      <c r="A763" s="12"/>
      <c r="B763" s="12"/>
      <c r="C763" s="12"/>
      <c r="D763" s="12"/>
      <c r="E763" s="12"/>
      <c r="F763" s="13"/>
      <c r="G763" s="13"/>
      <c r="H763" s="13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3.5" customHeight="1">
      <c r="A764" s="12"/>
      <c r="B764" s="12"/>
      <c r="C764" s="12"/>
      <c r="D764" s="12"/>
      <c r="E764" s="12"/>
      <c r="F764" s="13"/>
      <c r="G764" s="13"/>
      <c r="H764" s="13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3.5" customHeight="1">
      <c r="A765" s="12"/>
      <c r="B765" s="12"/>
      <c r="C765" s="12"/>
      <c r="D765" s="12"/>
      <c r="E765" s="12"/>
      <c r="F765" s="13"/>
      <c r="G765" s="13"/>
      <c r="H765" s="13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3.5" customHeight="1">
      <c r="A766" s="12"/>
      <c r="B766" s="12"/>
      <c r="C766" s="12"/>
      <c r="D766" s="12"/>
      <c r="E766" s="12"/>
      <c r="F766" s="13"/>
      <c r="G766" s="13"/>
      <c r="H766" s="13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3.5" customHeight="1">
      <c r="A767" s="12"/>
      <c r="B767" s="12"/>
      <c r="C767" s="12"/>
      <c r="D767" s="12"/>
      <c r="E767" s="12"/>
      <c r="F767" s="13"/>
      <c r="G767" s="13"/>
      <c r="H767" s="13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3.5" customHeight="1">
      <c r="A768" s="12"/>
      <c r="B768" s="12"/>
      <c r="C768" s="12"/>
      <c r="D768" s="12"/>
      <c r="E768" s="12"/>
      <c r="F768" s="13"/>
      <c r="G768" s="13"/>
      <c r="H768" s="13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3.5" customHeight="1">
      <c r="A769" s="12"/>
      <c r="B769" s="12"/>
      <c r="C769" s="12"/>
      <c r="D769" s="12"/>
      <c r="E769" s="12"/>
      <c r="F769" s="13"/>
      <c r="G769" s="13"/>
      <c r="H769" s="13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3.5" customHeight="1">
      <c r="A770" s="12"/>
      <c r="B770" s="12"/>
      <c r="C770" s="12"/>
      <c r="D770" s="12"/>
      <c r="E770" s="12"/>
      <c r="F770" s="13"/>
      <c r="G770" s="13"/>
      <c r="H770" s="13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3.5" customHeight="1">
      <c r="A771" s="12"/>
      <c r="B771" s="12"/>
      <c r="C771" s="12"/>
      <c r="D771" s="12"/>
      <c r="E771" s="12"/>
      <c r="F771" s="13"/>
      <c r="G771" s="13"/>
      <c r="H771" s="13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3.5" customHeight="1">
      <c r="A772" s="12"/>
      <c r="B772" s="12"/>
      <c r="C772" s="12"/>
      <c r="D772" s="12"/>
      <c r="E772" s="12"/>
      <c r="F772" s="13"/>
      <c r="G772" s="13"/>
      <c r="H772" s="13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3.5" customHeight="1">
      <c r="A773" s="12"/>
      <c r="B773" s="12"/>
      <c r="C773" s="12"/>
      <c r="D773" s="12"/>
      <c r="E773" s="12"/>
      <c r="F773" s="13"/>
      <c r="G773" s="13"/>
      <c r="H773" s="13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3.5" customHeight="1">
      <c r="A774" s="12"/>
      <c r="B774" s="12"/>
      <c r="C774" s="12"/>
      <c r="D774" s="12"/>
      <c r="E774" s="12"/>
      <c r="F774" s="13"/>
      <c r="G774" s="13"/>
      <c r="H774" s="13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3.5" customHeight="1">
      <c r="A775" s="12"/>
      <c r="B775" s="12"/>
      <c r="C775" s="12"/>
      <c r="D775" s="12"/>
      <c r="E775" s="12"/>
      <c r="F775" s="13"/>
      <c r="G775" s="13"/>
      <c r="H775" s="13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3.5" customHeight="1">
      <c r="A776" s="12"/>
      <c r="B776" s="12"/>
      <c r="C776" s="12"/>
      <c r="D776" s="12"/>
      <c r="E776" s="12"/>
      <c r="F776" s="13"/>
      <c r="G776" s="13"/>
      <c r="H776" s="13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3.5" customHeight="1">
      <c r="A777" s="12"/>
      <c r="B777" s="12"/>
      <c r="C777" s="12"/>
      <c r="D777" s="12"/>
      <c r="E777" s="12"/>
      <c r="F777" s="13"/>
      <c r="G777" s="13"/>
      <c r="H777" s="13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3.5" customHeight="1">
      <c r="A778" s="12"/>
      <c r="B778" s="12"/>
      <c r="C778" s="12"/>
      <c r="D778" s="12"/>
      <c r="E778" s="12"/>
      <c r="F778" s="13"/>
      <c r="G778" s="13"/>
      <c r="H778" s="13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3.5" customHeight="1">
      <c r="A779" s="12"/>
      <c r="B779" s="12"/>
      <c r="C779" s="12"/>
      <c r="D779" s="12"/>
      <c r="E779" s="12"/>
      <c r="F779" s="13"/>
      <c r="G779" s="13"/>
      <c r="H779" s="13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3.5" customHeight="1">
      <c r="A780" s="12"/>
      <c r="B780" s="12"/>
      <c r="C780" s="12"/>
      <c r="D780" s="12"/>
      <c r="E780" s="12"/>
      <c r="F780" s="13"/>
      <c r="G780" s="13"/>
      <c r="H780" s="13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3.5" customHeight="1">
      <c r="A781" s="12"/>
      <c r="B781" s="12"/>
      <c r="C781" s="12"/>
      <c r="D781" s="12"/>
      <c r="E781" s="12"/>
      <c r="F781" s="13"/>
      <c r="G781" s="13"/>
      <c r="H781" s="13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3.5" customHeight="1">
      <c r="A782" s="12"/>
      <c r="B782" s="12"/>
      <c r="C782" s="12"/>
      <c r="D782" s="12"/>
      <c r="E782" s="12"/>
      <c r="F782" s="13"/>
      <c r="G782" s="13"/>
      <c r="H782" s="13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3.5" customHeight="1">
      <c r="A783" s="12"/>
      <c r="B783" s="12"/>
      <c r="C783" s="12"/>
      <c r="D783" s="12"/>
      <c r="E783" s="12"/>
      <c r="F783" s="13"/>
      <c r="G783" s="13"/>
      <c r="H783" s="13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3.5" customHeight="1">
      <c r="A784" s="12"/>
      <c r="B784" s="12"/>
      <c r="C784" s="12"/>
      <c r="D784" s="12"/>
      <c r="E784" s="12"/>
      <c r="F784" s="13"/>
      <c r="G784" s="13"/>
      <c r="H784" s="13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3.5" customHeight="1">
      <c r="A785" s="12"/>
      <c r="B785" s="12"/>
      <c r="C785" s="12"/>
      <c r="D785" s="12"/>
      <c r="E785" s="12"/>
      <c r="F785" s="13"/>
      <c r="G785" s="13"/>
      <c r="H785" s="13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3.5" customHeight="1">
      <c r="A786" s="12"/>
      <c r="B786" s="12"/>
      <c r="C786" s="12"/>
      <c r="D786" s="12"/>
      <c r="E786" s="12"/>
      <c r="F786" s="13"/>
      <c r="G786" s="13"/>
      <c r="H786" s="13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3.5" customHeight="1">
      <c r="A787" s="12"/>
      <c r="B787" s="12"/>
      <c r="C787" s="12"/>
      <c r="D787" s="12"/>
      <c r="E787" s="12"/>
      <c r="F787" s="13"/>
      <c r="G787" s="13"/>
      <c r="H787" s="13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3.5" customHeight="1">
      <c r="A788" s="12"/>
      <c r="B788" s="12"/>
      <c r="C788" s="12"/>
      <c r="D788" s="12"/>
      <c r="E788" s="12"/>
      <c r="F788" s="13"/>
      <c r="G788" s="13"/>
      <c r="H788" s="13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3.5" customHeight="1">
      <c r="A789" s="12"/>
      <c r="B789" s="12"/>
      <c r="C789" s="12"/>
      <c r="D789" s="12"/>
      <c r="E789" s="12"/>
      <c r="F789" s="13"/>
      <c r="G789" s="13"/>
      <c r="H789" s="13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3.5" customHeight="1">
      <c r="A790" s="12"/>
      <c r="B790" s="12"/>
      <c r="C790" s="12"/>
      <c r="D790" s="12"/>
      <c r="E790" s="12"/>
      <c r="F790" s="13"/>
      <c r="G790" s="13"/>
      <c r="H790" s="13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3.5" customHeight="1">
      <c r="A791" s="12"/>
      <c r="B791" s="12"/>
      <c r="C791" s="12"/>
      <c r="D791" s="12"/>
      <c r="E791" s="12"/>
      <c r="F791" s="13"/>
      <c r="G791" s="13"/>
      <c r="H791" s="13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3.5" customHeight="1">
      <c r="A792" s="12"/>
      <c r="B792" s="12"/>
      <c r="C792" s="12"/>
      <c r="D792" s="12"/>
      <c r="E792" s="12"/>
      <c r="F792" s="13"/>
      <c r="G792" s="13"/>
      <c r="H792" s="13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3.5" customHeight="1">
      <c r="A793" s="12"/>
      <c r="B793" s="12"/>
      <c r="C793" s="12"/>
      <c r="D793" s="12"/>
      <c r="E793" s="12"/>
      <c r="F793" s="13"/>
      <c r="G793" s="13"/>
      <c r="H793" s="13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3.5" customHeight="1">
      <c r="A794" s="12"/>
      <c r="B794" s="12"/>
      <c r="C794" s="12"/>
      <c r="D794" s="12"/>
      <c r="E794" s="12"/>
      <c r="F794" s="13"/>
      <c r="G794" s="13"/>
      <c r="H794" s="13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3.5" customHeight="1">
      <c r="A795" s="12"/>
      <c r="B795" s="12"/>
      <c r="C795" s="12"/>
      <c r="D795" s="12"/>
      <c r="E795" s="12"/>
      <c r="F795" s="13"/>
      <c r="G795" s="13"/>
      <c r="H795" s="13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3.5" customHeight="1">
      <c r="A796" s="12"/>
      <c r="B796" s="12"/>
      <c r="C796" s="12"/>
      <c r="D796" s="12"/>
      <c r="E796" s="12"/>
      <c r="F796" s="13"/>
      <c r="G796" s="13"/>
      <c r="H796" s="13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3.5" customHeight="1">
      <c r="A797" s="12"/>
      <c r="B797" s="12"/>
      <c r="C797" s="12"/>
      <c r="D797" s="12"/>
      <c r="E797" s="12"/>
      <c r="F797" s="13"/>
      <c r="G797" s="13"/>
      <c r="H797" s="13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3.5" customHeight="1">
      <c r="A798" s="12"/>
      <c r="B798" s="12"/>
      <c r="C798" s="12"/>
      <c r="D798" s="12"/>
      <c r="E798" s="12"/>
      <c r="F798" s="13"/>
      <c r="G798" s="13"/>
      <c r="H798" s="13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3.5" customHeight="1">
      <c r="A799" s="12"/>
      <c r="B799" s="12"/>
      <c r="C799" s="12"/>
      <c r="D799" s="12"/>
      <c r="E799" s="12"/>
      <c r="F799" s="13"/>
      <c r="G799" s="13"/>
      <c r="H799" s="13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3.5" customHeight="1">
      <c r="A800" s="12"/>
      <c r="B800" s="12"/>
      <c r="C800" s="12"/>
      <c r="D800" s="12"/>
      <c r="E800" s="12"/>
      <c r="F800" s="13"/>
      <c r="G800" s="13"/>
      <c r="H800" s="13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3.5" customHeight="1">
      <c r="A801" s="12"/>
      <c r="B801" s="12"/>
      <c r="C801" s="12"/>
      <c r="D801" s="12"/>
      <c r="E801" s="12"/>
      <c r="F801" s="13"/>
      <c r="G801" s="13"/>
      <c r="H801" s="13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3.5" customHeight="1">
      <c r="A802" s="12"/>
      <c r="B802" s="12"/>
      <c r="C802" s="12"/>
      <c r="D802" s="12"/>
      <c r="E802" s="12"/>
      <c r="F802" s="13"/>
      <c r="G802" s="13"/>
      <c r="H802" s="13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3.5" customHeight="1">
      <c r="A803" s="12"/>
      <c r="B803" s="12"/>
      <c r="C803" s="12"/>
      <c r="D803" s="12"/>
      <c r="E803" s="12"/>
      <c r="F803" s="13"/>
      <c r="G803" s="13"/>
      <c r="H803" s="13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3.5" customHeight="1">
      <c r="A804" s="12"/>
      <c r="B804" s="12"/>
      <c r="C804" s="12"/>
      <c r="D804" s="12"/>
      <c r="E804" s="12"/>
      <c r="F804" s="13"/>
      <c r="G804" s="13"/>
      <c r="H804" s="13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3.5" customHeight="1">
      <c r="A805" s="12"/>
      <c r="B805" s="12"/>
      <c r="C805" s="12"/>
      <c r="D805" s="12"/>
      <c r="E805" s="12"/>
      <c r="F805" s="13"/>
      <c r="G805" s="13"/>
      <c r="H805" s="13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3.5" customHeight="1">
      <c r="A806" s="12"/>
      <c r="B806" s="12"/>
      <c r="C806" s="12"/>
      <c r="D806" s="12"/>
      <c r="E806" s="12"/>
      <c r="F806" s="13"/>
      <c r="G806" s="13"/>
      <c r="H806" s="13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3.5" customHeight="1">
      <c r="A807" s="12"/>
      <c r="B807" s="12"/>
      <c r="C807" s="12"/>
      <c r="D807" s="12"/>
      <c r="E807" s="12"/>
      <c r="F807" s="13"/>
      <c r="G807" s="13"/>
      <c r="H807" s="13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3.5" customHeight="1">
      <c r="A808" s="12"/>
      <c r="B808" s="12"/>
      <c r="C808" s="12"/>
      <c r="D808" s="12"/>
      <c r="E808" s="12"/>
      <c r="F808" s="13"/>
      <c r="G808" s="13"/>
      <c r="H808" s="13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3.5" customHeight="1">
      <c r="A809" s="12"/>
      <c r="B809" s="12"/>
      <c r="C809" s="12"/>
      <c r="D809" s="12"/>
      <c r="E809" s="12"/>
      <c r="F809" s="13"/>
      <c r="G809" s="13"/>
      <c r="H809" s="13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3.5" customHeight="1">
      <c r="A810" s="12"/>
      <c r="B810" s="12"/>
      <c r="C810" s="12"/>
      <c r="D810" s="12"/>
      <c r="E810" s="12"/>
      <c r="F810" s="13"/>
      <c r="G810" s="13"/>
      <c r="H810" s="13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3.5" customHeight="1">
      <c r="A811" s="12"/>
      <c r="B811" s="12"/>
      <c r="C811" s="12"/>
      <c r="D811" s="12"/>
      <c r="E811" s="12"/>
      <c r="F811" s="13"/>
      <c r="G811" s="13"/>
      <c r="H811" s="13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3.5" customHeight="1">
      <c r="A812" s="12"/>
      <c r="B812" s="12"/>
      <c r="C812" s="12"/>
      <c r="D812" s="12"/>
      <c r="E812" s="12"/>
      <c r="F812" s="13"/>
      <c r="G812" s="13"/>
      <c r="H812" s="13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3.5" customHeight="1">
      <c r="A813" s="12"/>
      <c r="B813" s="12"/>
      <c r="C813" s="12"/>
      <c r="D813" s="12"/>
      <c r="E813" s="12"/>
      <c r="F813" s="13"/>
      <c r="G813" s="13"/>
      <c r="H813" s="13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3.5" customHeight="1">
      <c r="A814" s="12"/>
      <c r="B814" s="12"/>
      <c r="C814" s="12"/>
      <c r="D814" s="12"/>
      <c r="E814" s="12"/>
      <c r="F814" s="13"/>
      <c r="G814" s="13"/>
      <c r="H814" s="13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3.5" customHeight="1">
      <c r="A815" s="12"/>
      <c r="B815" s="12"/>
      <c r="C815" s="12"/>
      <c r="D815" s="12"/>
      <c r="E815" s="12"/>
      <c r="F815" s="13"/>
      <c r="G815" s="13"/>
      <c r="H815" s="13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3.5" customHeight="1">
      <c r="A816" s="12"/>
      <c r="B816" s="12"/>
      <c r="C816" s="12"/>
      <c r="D816" s="12"/>
      <c r="E816" s="12"/>
      <c r="F816" s="13"/>
      <c r="G816" s="13"/>
      <c r="H816" s="13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3.5" customHeight="1">
      <c r="A817" s="12"/>
      <c r="B817" s="12"/>
      <c r="C817" s="12"/>
      <c r="D817" s="12"/>
      <c r="E817" s="12"/>
      <c r="F817" s="13"/>
      <c r="G817" s="13"/>
      <c r="H817" s="13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3.5" customHeight="1">
      <c r="A818" s="12"/>
      <c r="B818" s="12"/>
      <c r="C818" s="12"/>
      <c r="D818" s="12"/>
      <c r="E818" s="12"/>
      <c r="F818" s="13"/>
      <c r="G818" s="13"/>
      <c r="H818" s="13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3.5" customHeight="1">
      <c r="A819" s="12"/>
      <c r="B819" s="12"/>
      <c r="C819" s="12"/>
      <c r="D819" s="12"/>
      <c r="E819" s="12"/>
      <c r="F819" s="13"/>
      <c r="G819" s="13"/>
      <c r="H819" s="13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3.5" customHeight="1">
      <c r="A820" s="12"/>
      <c r="B820" s="12"/>
      <c r="C820" s="12"/>
      <c r="D820" s="12"/>
      <c r="E820" s="12"/>
      <c r="F820" s="13"/>
      <c r="G820" s="13"/>
      <c r="H820" s="13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3.5" customHeight="1">
      <c r="A821" s="12"/>
      <c r="B821" s="12"/>
      <c r="C821" s="12"/>
      <c r="D821" s="12"/>
      <c r="E821" s="12"/>
      <c r="F821" s="13"/>
      <c r="G821" s="13"/>
      <c r="H821" s="13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3.5" customHeight="1">
      <c r="A822" s="12"/>
      <c r="B822" s="12"/>
      <c r="C822" s="12"/>
      <c r="D822" s="12"/>
      <c r="E822" s="12"/>
      <c r="F822" s="13"/>
      <c r="G822" s="13"/>
      <c r="H822" s="13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3.5" customHeight="1">
      <c r="A823" s="12"/>
      <c r="B823" s="12"/>
      <c r="C823" s="12"/>
      <c r="D823" s="12"/>
      <c r="E823" s="12"/>
      <c r="F823" s="13"/>
      <c r="G823" s="13"/>
      <c r="H823" s="13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3.5" customHeight="1">
      <c r="A824" s="12"/>
      <c r="B824" s="12"/>
      <c r="C824" s="12"/>
      <c r="D824" s="12"/>
      <c r="E824" s="12"/>
      <c r="F824" s="13"/>
      <c r="G824" s="13"/>
      <c r="H824" s="13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3.5" customHeight="1">
      <c r="A825" s="12"/>
      <c r="B825" s="12"/>
      <c r="C825" s="12"/>
      <c r="D825" s="12"/>
      <c r="E825" s="12"/>
      <c r="F825" s="13"/>
      <c r="G825" s="13"/>
      <c r="H825" s="13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3.5" customHeight="1">
      <c r="A826" s="12"/>
      <c r="B826" s="12"/>
      <c r="C826" s="12"/>
      <c r="D826" s="12"/>
      <c r="E826" s="12"/>
      <c r="F826" s="13"/>
      <c r="G826" s="13"/>
      <c r="H826" s="13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3.5" customHeight="1">
      <c r="A827" s="12"/>
      <c r="B827" s="12"/>
      <c r="C827" s="12"/>
      <c r="D827" s="12"/>
      <c r="E827" s="12"/>
      <c r="F827" s="13"/>
      <c r="G827" s="13"/>
      <c r="H827" s="13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3.5" customHeight="1">
      <c r="A828" s="12"/>
      <c r="B828" s="12"/>
      <c r="C828" s="12"/>
      <c r="D828" s="12"/>
      <c r="E828" s="12"/>
      <c r="F828" s="13"/>
      <c r="G828" s="13"/>
      <c r="H828" s="13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3.5" customHeight="1">
      <c r="A829" s="12"/>
      <c r="B829" s="12"/>
      <c r="C829" s="12"/>
      <c r="D829" s="12"/>
      <c r="E829" s="12"/>
      <c r="F829" s="13"/>
      <c r="G829" s="13"/>
      <c r="H829" s="13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3.5" customHeight="1">
      <c r="A830" s="12"/>
      <c r="B830" s="12"/>
      <c r="C830" s="12"/>
      <c r="D830" s="12"/>
      <c r="E830" s="12"/>
      <c r="F830" s="13"/>
      <c r="G830" s="13"/>
      <c r="H830" s="13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3.5" customHeight="1">
      <c r="A831" s="12"/>
      <c r="B831" s="12"/>
      <c r="C831" s="12"/>
      <c r="D831" s="12"/>
      <c r="E831" s="12"/>
      <c r="F831" s="13"/>
      <c r="G831" s="13"/>
      <c r="H831" s="13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3.5" customHeight="1">
      <c r="A832" s="12"/>
      <c r="B832" s="12"/>
      <c r="C832" s="12"/>
      <c r="D832" s="12"/>
      <c r="E832" s="12"/>
      <c r="F832" s="13"/>
      <c r="G832" s="13"/>
      <c r="H832" s="13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3.5" customHeight="1">
      <c r="A833" s="12"/>
      <c r="B833" s="12"/>
      <c r="C833" s="12"/>
      <c r="D833" s="12"/>
      <c r="E833" s="12"/>
      <c r="F833" s="13"/>
      <c r="G833" s="13"/>
      <c r="H833" s="13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3.5" customHeight="1">
      <c r="A834" s="12"/>
      <c r="B834" s="12"/>
      <c r="C834" s="12"/>
      <c r="D834" s="12"/>
      <c r="E834" s="12"/>
      <c r="F834" s="13"/>
      <c r="G834" s="13"/>
      <c r="H834" s="13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3.5" customHeight="1">
      <c r="A835" s="12"/>
      <c r="B835" s="12"/>
      <c r="C835" s="12"/>
      <c r="D835" s="12"/>
      <c r="E835" s="12"/>
      <c r="F835" s="13"/>
      <c r="G835" s="13"/>
      <c r="H835" s="13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3.5" customHeight="1">
      <c r="A836" s="12"/>
      <c r="B836" s="12"/>
      <c r="C836" s="12"/>
      <c r="D836" s="12"/>
      <c r="E836" s="12"/>
      <c r="F836" s="13"/>
      <c r="G836" s="13"/>
      <c r="H836" s="13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3.5" customHeight="1">
      <c r="A837" s="12"/>
      <c r="B837" s="12"/>
      <c r="C837" s="12"/>
      <c r="D837" s="12"/>
      <c r="E837" s="12"/>
      <c r="F837" s="13"/>
      <c r="G837" s="13"/>
      <c r="H837" s="13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3.5" customHeight="1">
      <c r="A838" s="12"/>
      <c r="B838" s="12"/>
      <c r="C838" s="12"/>
      <c r="D838" s="12"/>
      <c r="E838" s="12"/>
      <c r="F838" s="13"/>
      <c r="G838" s="13"/>
      <c r="H838" s="13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3.5" customHeight="1">
      <c r="A839" s="12"/>
      <c r="B839" s="12"/>
      <c r="C839" s="12"/>
      <c r="D839" s="12"/>
      <c r="E839" s="12"/>
      <c r="F839" s="13"/>
      <c r="G839" s="13"/>
      <c r="H839" s="13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3.5" customHeight="1">
      <c r="A840" s="12"/>
      <c r="B840" s="12"/>
      <c r="C840" s="12"/>
      <c r="D840" s="12"/>
      <c r="E840" s="12"/>
      <c r="F840" s="13"/>
      <c r="G840" s="13"/>
      <c r="H840" s="13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3.5" customHeight="1">
      <c r="A841" s="12"/>
      <c r="B841" s="12"/>
      <c r="C841" s="12"/>
      <c r="D841" s="12"/>
      <c r="E841" s="12"/>
      <c r="F841" s="13"/>
      <c r="G841" s="13"/>
      <c r="H841" s="13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3.5" customHeight="1">
      <c r="A842" s="12"/>
      <c r="B842" s="12"/>
      <c r="C842" s="12"/>
      <c r="D842" s="12"/>
      <c r="E842" s="12"/>
      <c r="F842" s="13"/>
      <c r="G842" s="13"/>
      <c r="H842" s="13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3.5" customHeight="1">
      <c r="A843" s="12"/>
      <c r="B843" s="12"/>
      <c r="C843" s="12"/>
      <c r="D843" s="12"/>
      <c r="E843" s="12"/>
      <c r="F843" s="13"/>
      <c r="G843" s="13"/>
      <c r="H843" s="13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3.5" customHeight="1">
      <c r="A844" s="12"/>
      <c r="B844" s="12"/>
      <c r="C844" s="12"/>
      <c r="D844" s="12"/>
      <c r="E844" s="12"/>
      <c r="F844" s="13"/>
      <c r="G844" s="13"/>
      <c r="H844" s="13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3.5" customHeight="1">
      <c r="A845" s="12"/>
      <c r="B845" s="12"/>
      <c r="C845" s="12"/>
      <c r="D845" s="12"/>
      <c r="E845" s="12"/>
      <c r="F845" s="13"/>
      <c r="G845" s="13"/>
      <c r="H845" s="13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3.5" customHeight="1">
      <c r="A846" s="12"/>
      <c r="B846" s="12"/>
      <c r="C846" s="12"/>
      <c r="D846" s="12"/>
      <c r="E846" s="12"/>
      <c r="F846" s="13"/>
      <c r="G846" s="13"/>
      <c r="H846" s="13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3.5" customHeight="1">
      <c r="A847" s="12"/>
      <c r="B847" s="12"/>
      <c r="C847" s="12"/>
      <c r="D847" s="12"/>
      <c r="E847" s="12"/>
      <c r="F847" s="13"/>
      <c r="G847" s="13"/>
      <c r="H847" s="13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3.5" customHeight="1">
      <c r="A848" s="12"/>
      <c r="B848" s="12"/>
      <c r="C848" s="12"/>
      <c r="D848" s="12"/>
      <c r="E848" s="12"/>
      <c r="F848" s="13"/>
      <c r="G848" s="13"/>
      <c r="H848" s="13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3.5" customHeight="1">
      <c r="A849" s="12"/>
      <c r="B849" s="12"/>
      <c r="C849" s="12"/>
      <c r="D849" s="12"/>
      <c r="E849" s="12"/>
      <c r="F849" s="13"/>
      <c r="G849" s="13"/>
      <c r="H849" s="13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3.5" customHeight="1">
      <c r="A850" s="12"/>
      <c r="B850" s="12"/>
      <c r="C850" s="12"/>
      <c r="D850" s="12"/>
      <c r="E850" s="12"/>
      <c r="F850" s="13"/>
      <c r="G850" s="13"/>
      <c r="H850" s="13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3.5" customHeight="1">
      <c r="A851" s="12"/>
      <c r="B851" s="12"/>
      <c r="C851" s="12"/>
      <c r="D851" s="12"/>
      <c r="E851" s="12"/>
      <c r="F851" s="13"/>
      <c r="G851" s="13"/>
      <c r="H851" s="13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3.5" customHeight="1">
      <c r="A852" s="12"/>
      <c r="B852" s="12"/>
      <c r="C852" s="12"/>
      <c r="D852" s="12"/>
      <c r="E852" s="12"/>
      <c r="F852" s="13"/>
      <c r="G852" s="13"/>
      <c r="H852" s="13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3.5" customHeight="1">
      <c r="A853" s="12"/>
      <c r="B853" s="12"/>
      <c r="C853" s="12"/>
      <c r="D853" s="12"/>
      <c r="E853" s="12"/>
      <c r="F853" s="13"/>
      <c r="G853" s="13"/>
      <c r="H853" s="13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3.5" customHeight="1">
      <c r="A854" s="12"/>
      <c r="B854" s="12"/>
      <c r="C854" s="12"/>
      <c r="D854" s="12"/>
      <c r="E854" s="12"/>
      <c r="F854" s="13"/>
      <c r="G854" s="13"/>
      <c r="H854" s="13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3.5" customHeight="1">
      <c r="A855" s="12"/>
      <c r="B855" s="12"/>
      <c r="C855" s="12"/>
      <c r="D855" s="12"/>
      <c r="E855" s="12"/>
      <c r="F855" s="13"/>
      <c r="G855" s="13"/>
      <c r="H855" s="13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3.5" customHeight="1">
      <c r="A856" s="12"/>
      <c r="B856" s="12"/>
      <c r="C856" s="12"/>
      <c r="D856" s="12"/>
      <c r="E856" s="12"/>
      <c r="F856" s="13"/>
      <c r="G856" s="13"/>
      <c r="H856" s="13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3.5" customHeight="1">
      <c r="A857" s="12"/>
      <c r="B857" s="12"/>
      <c r="C857" s="12"/>
      <c r="D857" s="12"/>
      <c r="E857" s="12"/>
      <c r="F857" s="13"/>
      <c r="G857" s="13"/>
      <c r="H857" s="13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3.5" customHeight="1">
      <c r="A858" s="12"/>
      <c r="B858" s="12"/>
      <c r="C858" s="12"/>
      <c r="D858" s="12"/>
      <c r="E858" s="12"/>
      <c r="F858" s="13"/>
      <c r="G858" s="13"/>
      <c r="H858" s="13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3.5" customHeight="1">
      <c r="A859" s="12"/>
      <c r="B859" s="12"/>
      <c r="C859" s="12"/>
      <c r="D859" s="12"/>
      <c r="E859" s="12"/>
      <c r="F859" s="13"/>
      <c r="G859" s="13"/>
      <c r="H859" s="13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3.5" customHeight="1">
      <c r="A860" s="12"/>
      <c r="B860" s="12"/>
      <c r="C860" s="12"/>
      <c r="D860" s="12"/>
      <c r="E860" s="12"/>
      <c r="F860" s="13"/>
      <c r="G860" s="13"/>
      <c r="H860" s="13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3.5" customHeight="1">
      <c r="A861" s="12"/>
      <c r="B861" s="12"/>
      <c r="C861" s="12"/>
      <c r="D861" s="12"/>
      <c r="E861" s="12"/>
      <c r="F861" s="13"/>
      <c r="G861" s="13"/>
      <c r="H861" s="13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3.5" customHeight="1">
      <c r="A862" s="12"/>
      <c r="B862" s="12"/>
      <c r="C862" s="12"/>
      <c r="D862" s="12"/>
      <c r="E862" s="12"/>
      <c r="F862" s="13"/>
      <c r="G862" s="13"/>
      <c r="H862" s="13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3.5" customHeight="1">
      <c r="A863" s="12"/>
      <c r="B863" s="12"/>
      <c r="C863" s="12"/>
      <c r="D863" s="12"/>
      <c r="E863" s="12"/>
      <c r="F863" s="13"/>
      <c r="G863" s="13"/>
      <c r="H863" s="13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3.5" customHeight="1">
      <c r="A864" s="12"/>
      <c r="B864" s="12"/>
      <c r="C864" s="12"/>
      <c r="D864" s="12"/>
      <c r="E864" s="12"/>
      <c r="F864" s="13"/>
      <c r="G864" s="13"/>
      <c r="H864" s="13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3.5" customHeight="1">
      <c r="A865" s="12"/>
      <c r="B865" s="12"/>
      <c r="C865" s="12"/>
      <c r="D865" s="12"/>
      <c r="E865" s="12"/>
      <c r="F865" s="13"/>
      <c r="G865" s="13"/>
      <c r="H865" s="13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3.5" customHeight="1">
      <c r="A866" s="12"/>
      <c r="B866" s="12"/>
      <c r="C866" s="12"/>
      <c r="D866" s="12"/>
      <c r="E866" s="12"/>
      <c r="F866" s="13"/>
      <c r="G866" s="13"/>
      <c r="H866" s="13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3.5" customHeight="1">
      <c r="A867" s="12"/>
      <c r="B867" s="12"/>
      <c r="C867" s="12"/>
      <c r="D867" s="12"/>
      <c r="E867" s="12"/>
      <c r="F867" s="13"/>
      <c r="G867" s="13"/>
      <c r="H867" s="13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3.5" customHeight="1">
      <c r="A868" s="12"/>
      <c r="B868" s="12"/>
      <c r="C868" s="12"/>
      <c r="D868" s="12"/>
      <c r="E868" s="12"/>
      <c r="F868" s="13"/>
      <c r="G868" s="13"/>
      <c r="H868" s="13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3.5" customHeight="1">
      <c r="A869" s="12"/>
      <c r="B869" s="12"/>
      <c r="C869" s="12"/>
      <c r="D869" s="12"/>
      <c r="E869" s="12"/>
      <c r="F869" s="13"/>
      <c r="G869" s="13"/>
      <c r="H869" s="13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3.5" customHeight="1">
      <c r="A870" s="12"/>
      <c r="B870" s="12"/>
      <c r="C870" s="12"/>
      <c r="D870" s="12"/>
      <c r="E870" s="12"/>
      <c r="F870" s="13"/>
      <c r="G870" s="13"/>
      <c r="H870" s="13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3.5" customHeight="1">
      <c r="A871" s="12"/>
      <c r="B871" s="12"/>
      <c r="C871" s="12"/>
      <c r="D871" s="12"/>
      <c r="E871" s="12"/>
      <c r="F871" s="13"/>
      <c r="G871" s="13"/>
      <c r="H871" s="13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3.5" customHeight="1">
      <c r="A872" s="12"/>
      <c r="B872" s="12"/>
      <c r="C872" s="12"/>
      <c r="D872" s="12"/>
      <c r="E872" s="12"/>
      <c r="F872" s="13"/>
      <c r="G872" s="13"/>
      <c r="H872" s="13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3.5" customHeight="1">
      <c r="A873" s="12"/>
      <c r="B873" s="12"/>
      <c r="C873" s="12"/>
      <c r="D873" s="12"/>
      <c r="E873" s="12"/>
      <c r="F873" s="13"/>
      <c r="G873" s="13"/>
      <c r="H873" s="13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3.5" customHeight="1">
      <c r="A874" s="12"/>
      <c r="B874" s="12"/>
      <c r="C874" s="12"/>
      <c r="D874" s="12"/>
      <c r="E874" s="12"/>
      <c r="F874" s="13"/>
      <c r="G874" s="13"/>
      <c r="H874" s="13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3.5" customHeight="1">
      <c r="A875" s="12"/>
      <c r="B875" s="12"/>
      <c r="C875" s="12"/>
      <c r="D875" s="12"/>
      <c r="E875" s="12"/>
      <c r="F875" s="13"/>
      <c r="G875" s="13"/>
      <c r="H875" s="13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3.5" customHeight="1">
      <c r="A876" s="12"/>
      <c r="B876" s="12"/>
      <c r="C876" s="12"/>
      <c r="D876" s="12"/>
      <c r="E876" s="12"/>
      <c r="F876" s="13"/>
      <c r="G876" s="13"/>
      <c r="H876" s="13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3.5" customHeight="1">
      <c r="A877" s="12"/>
      <c r="B877" s="12"/>
      <c r="C877" s="12"/>
      <c r="D877" s="12"/>
      <c r="E877" s="12"/>
      <c r="F877" s="13"/>
      <c r="G877" s="13"/>
      <c r="H877" s="13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3.5" customHeight="1">
      <c r="A878" s="12"/>
      <c r="B878" s="12"/>
      <c r="C878" s="12"/>
      <c r="D878" s="12"/>
      <c r="E878" s="12"/>
      <c r="F878" s="13"/>
      <c r="G878" s="13"/>
      <c r="H878" s="13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3.5" customHeight="1">
      <c r="A879" s="12"/>
      <c r="B879" s="12"/>
      <c r="C879" s="12"/>
      <c r="D879" s="12"/>
      <c r="E879" s="12"/>
      <c r="F879" s="13"/>
      <c r="G879" s="13"/>
      <c r="H879" s="13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3.5" customHeight="1">
      <c r="A880" s="12"/>
      <c r="B880" s="12"/>
      <c r="C880" s="12"/>
      <c r="D880" s="12"/>
      <c r="E880" s="12"/>
      <c r="F880" s="13"/>
      <c r="G880" s="13"/>
      <c r="H880" s="13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3.5" customHeight="1">
      <c r="A881" s="12"/>
      <c r="B881" s="12"/>
      <c r="C881" s="12"/>
      <c r="D881" s="12"/>
      <c r="E881" s="12"/>
      <c r="F881" s="13"/>
      <c r="G881" s="13"/>
      <c r="H881" s="13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3.5" customHeight="1">
      <c r="A882" s="12"/>
      <c r="B882" s="12"/>
      <c r="C882" s="12"/>
      <c r="D882" s="12"/>
      <c r="E882" s="12"/>
      <c r="F882" s="13"/>
      <c r="G882" s="13"/>
      <c r="H882" s="13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3.5" customHeight="1">
      <c r="A883" s="12"/>
      <c r="B883" s="12"/>
      <c r="C883" s="12"/>
      <c r="D883" s="12"/>
      <c r="E883" s="12"/>
      <c r="F883" s="13"/>
      <c r="G883" s="13"/>
      <c r="H883" s="13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3.5" customHeight="1">
      <c r="A884" s="12"/>
      <c r="B884" s="12"/>
      <c r="C884" s="12"/>
      <c r="D884" s="12"/>
      <c r="E884" s="12"/>
      <c r="F884" s="13"/>
      <c r="G884" s="13"/>
      <c r="H884" s="13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3.5" customHeight="1">
      <c r="A885" s="12"/>
      <c r="B885" s="12"/>
      <c r="C885" s="12"/>
      <c r="D885" s="12"/>
      <c r="E885" s="12"/>
      <c r="F885" s="13"/>
      <c r="G885" s="13"/>
      <c r="H885" s="13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3.5" customHeight="1">
      <c r="A886" s="12"/>
      <c r="B886" s="12"/>
      <c r="C886" s="12"/>
      <c r="D886" s="12"/>
      <c r="E886" s="12"/>
      <c r="F886" s="13"/>
      <c r="G886" s="13"/>
      <c r="H886" s="13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3.5" customHeight="1">
      <c r="A887" s="12"/>
      <c r="B887" s="12"/>
      <c r="C887" s="12"/>
      <c r="D887" s="12"/>
      <c r="E887" s="12"/>
      <c r="F887" s="13"/>
      <c r="G887" s="13"/>
      <c r="H887" s="13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3.5" customHeight="1">
      <c r="A888" s="12"/>
      <c r="B888" s="12"/>
      <c r="C888" s="12"/>
      <c r="D888" s="12"/>
      <c r="E888" s="12"/>
      <c r="F888" s="13"/>
      <c r="G888" s="13"/>
      <c r="H888" s="13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3.5" customHeight="1">
      <c r="A889" s="12"/>
      <c r="B889" s="12"/>
      <c r="C889" s="12"/>
      <c r="D889" s="12"/>
      <c r="E889" s="12"/>
      <c r="F889" s="13"/>
      <c r="G889" s="13"/>
      <c r="H889" s="13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3.5" customHeight="1">
      <c r="A890" s="12"/>
      <c r="B890" s="12"/>
      <c r="C890" s="12"/>
      <c r="D890" s="12"/>
      <c r="E890" s="12"/>
      <c r="F890" s="13"/>
      <c r="G890" s="13"/>
      <c r="H890" s="13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3.5" customHeight="1">
      <c r="A891" s="12"/>
      <c r="B891" s="12"/>
      <c r="C891" s="12"/>
      <c r="D891" s="12"/>
      <c r="E891" s="12"/>
      <c r="F891" s="13"/>
      <c r="G891" s="13"/>
      <c r="H891" s="13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3.5" customHeight="1">
      <c r="A892" s="12"/>
      <c r="B892" s="12"/>
      <c r="C892" s="12"/>
      <c r="D892" s="12"/>
      <c r="E892" s="12"/>
      <c r="F892" s="13"/>
      <c r="G892" s="13"/>
      <c r="H892" s="13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3.5" customHeight="1">
      <c r="A893" s="12"/>
      <c r="B893" s="12"/>
      <c r="C893" s="12"/>
      <c r="D893" s="12"/>
      <c r="E893" s="12"/>
      <c r="F893" s="13"/>
      <c r="G893" s="13"/>
      <c r="H893" s="13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3.5" customHeight="1">
      <c r="A894" s="12"/>
      <c r="B894" s="12"/>
      <c r="C894" s="12"/>
      <c r="D894" s="12"/>
      <c r="E894" s="12"/>
      <c r="F894" s="13"/>
      <c r="G894" s="13"/>
      <c r="H894" s="13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3.5" customHeight="1">
      <c r="A895" s="12"/>
      <c r="B895" s="12"/>
      <c r="C895" s="12"/>
      <c r="D895" s="12"/>
      <c r="E895" s="12"/>
      <c r="F895" s="13"/>
      <c r="G895" s="13"/>
      <c r="H895" s="13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3.5" customHeight="1">
      <c r="A896" s="12"/>
      <c r="B896" s="12"/>
      <c r="C896" s="12"/>
      <c r="D896" s="12"/>
      <c r="E896" s="12"/>
      <c r="F896" s="13"/>
      <c r="G896" s="13"/>
      <c r="H896" s="13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3.5" customHeight="1">
      <c r="A897" s="12"/>
      <c r="B897" s="12"/>
      <c r="C897" s="12"/>
      <c r="D897" s="12"/>
      <c r="E897" s="12"/>
      <c r="F897" s="13"/>
      <c r="G897" s="13"/>
      <c r="H897" s="13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3.5" customHeight="1">
      <c r="A898" s="12"/>
      <c r="B898" s="12"/>
      <c r="C898" s="12"/>
      <c r="D898" s="12"/>
      <c r="E898" s="12"/>
      <c r="F898" s="13"/>
      <c r="G898" s="13"/>
      <c r="H898" s="13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3.5" customHeight="1">
      <c r="A899" s="12"/>
      <c r="B899" s="12"/>
      <c r="C899" s="12"/>
      <c r="D899" s="12"/>
      <c r="E899" s="12"/>
      <c r="F899" s="13"/>
      <c r="G899" s="13"/>
      <c r="H899" s="13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3.5" customHeight="1">
      <c r="A900" s="12"/>
      <c r="B900" s="12"/>
      <c r="C900" s="12"/>
      <c r="D900" s="12"/>
      <c r="E900" s="12"/>
      <c r="F900" s="13"/>
      <c r="G900" s="13"/>
      <c r="H900" s="13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3.5" customHeight="1">
      <c r="A901" s="12"/>
      <c r="B901" s="12"/>
      <c r="C901" s="12"/>
      <c r="D901" s="12"/>
      <c r="E901" s="12"/>
      <c r="F901" s="13"/>
      <c r="G901" s="13"/>
      <c r="H901" s="13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3.5" customHeight="1">
      <c r="A902" s="12"/>
      <c r="B902" s="12"/>
      <c r="C902" s="12"/>
      <c r="D902" s="12"/>
      <c r="E902" s="12"/>
      <c r="F902" s="13"/>
      <c r="G902" s="13"/>
      <c r="H902" s="13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3.5" customHeight="1">
      <c r="A903" s="12"/>
      <c r="B903" s="12"/>
      <c r="C903" s="12"/>
      <c r="D903" s="12"/>
      <c r="E903" s="12"/>
      <c r="F903" s="13"/>
      <c r="G903" s="13"/>
      <c r="H903" s="13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3.5" customHeight="1">
      <c r="A904" s="12"/>
      <c r="B904" s="12"/>
      <c r="C904" s="12"/>
      <c r="D904" s="12"/>
      <c r="E904" s="12"/>
      <c r="F904" s="13"/>
      <c r="G904" s="13"/>
      <c r="H904" s="13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3.5" customHeight="1">
      <c r="A905" s="12"/>
      <c r="B905" s="12"/>
      <c r="C905" s="12"/>
      <c r="D905" s="12"/>
      <c r="E905" s="12"/>
      <c r="F905" s="13"/>
      <c r="G905" s="13"/>
      <c r="H905" s="13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3.5" customHeight="1">
      <c r="A906" s="12"/>
      <c r="B906" s="12"/>
      <c r="C906" s="12"/>
      <c r="D906" s="12"/>
      <c r="E906" s="12"/>
      <c r="F906" s="13"/>
      <c r="G906" s="13"/>
      <c r="H906" s="13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3.5" customHeight="1">
      <c r="A907" s="12"/>
      <c r="B907" s="12"/>
      <c r="C907" s="12"/>
      <c r="D907" s="12"/>
      <c r="E907" s="12"/>
      <c r="F907" s="13"/>
      <c r="G907" s="13"/>
      <c r="H907" s="13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3.5" customHeight="1">
      <c r="A908" s="12"/>
      <c r="B908" s="12"/>
      <c r="C908" s="12"/>
      <c r="D908" s="12"/>
      <c r="E908" s="12"/>
      <c r="F908" s="13"/>
      <c r="G908" s="13"/>
      <c r="H908" s="13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3.5" customHeight="1">
      <c r="A909" s="12"/>
      <c r="B909" s="12"/>
      <c r="C909" s="12"/>
      <c r="D909" s="12"/>
      <c r="E909" s="12"/>
      <c r="F909" s="13"/>
      <c r="G909" s="13"/>
      <c r="H909" s="13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3.5" customHeight="1">
      <c r="A910" s="12"/>
      <c r="B910" s="12"/>
      <c r="C910" s="12"/>
      <c r="D910" s="12"/>
      <c r="E910" s="12"/>
      <c r="F910" s="13"/>
      <c r="G910" s="13"/>
      <c r="H910" s="13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3.5" customHeight="1">
      <c r="A911" s="12"/>
      <c r="B911" s="12"/>
      <c r="C911" s="12"/>
      <c r="D911" s="12"/>
      <c r="E911" s="12"/>
      <c r="F911" s="13"/>
      <c r="G911" s="13"/>
      <c r="H911" s="13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3.5" customHeight="1">
      <c r="A912" s="12"/>
      <c r="B912" s="12"/>
      <c r="C912" s="12"/>
      <c r="D912" s="12"/>
      <c r="E912" s="12"/>
      <c r="F912" s="13"/>
      <c r="G912" s="13"/>
      <c r="H912" s="13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3.5" customHeight="1">
      <c r="A913" s="12"/>
      <c r="B913" s="12"/>
      <c r="C913" s="12"/>
      <c r="D913" s="12"/>
      <c r="E913" s="12"/>
      <c r="F913" s="13"/>
      <c r="G913" s="13"/>
      <c r="H913" s="13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3.5" customHeight="1">
      <c r="A914" s="12"/>
      <c r="B914" s="12"/>
      <c r="C914" s="12"/>
      <c r="D914" s="12"/>
      <c r="E914" s="12"/>
      <c r="F914" s="13"/>
      <c r="G914" s="13"/>
      <c r="H914" s="13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3.5" customHeight="1">
      <c r="A915" s="12"/>
      <c r="B915" s="12"/>
      <c r="C915" s="12"/>
      <c r="D915" s="12"/>
      <c r="E915" s="12"/>
      <c r="F915" s="13"/>
      <c r="G915" s="13"/>
      <c r="H915" s="13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3.5" customHeight="1">
      <c r="A916" s="12"/>
      <c r="B916" s="12"/>
      <c r="C916" s="12"/>
      <c r="D916" s="12"/>
      <c r="E916" s="12"/>
      <c r="F916" s="13"/>
      <c r="G916" s="13"/>
      <c r="H916" s="13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3.5" customHeight="1">
      <c r="A917" s="12"/>
      <c r="B917" s="12"/>
      <c r="C917" s="12"/>
      <c r="D917" s="12"/>
      <c r="E917" s="12"/>
      <c r="F917" s="13"/>
      <c r="G917" s="13"/>
      <c r="H917" s="13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3.5" customHeight="1">
      <c r="A918" s="12"/>
      <c r="B918" s="12"/>
      <c r="C918" s="12"/>
      <c r="D918" s="12"/>
      <c r="E918" s="12"/>
      <c r="F918" s="13"/>
      <c r="G918" s="13"/>
      <c r="H918" s="13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3.5" customHeight="1">
      <c r="A919" s="12"/>
      <c r="B919" s="12"/>
      <c r="C919" s="12"/>
      <c r="D919" s="12"/>
      <c r="E919" s="12"/>
      <c r="F919" s="13"/>
      <c r="G919" s="13"/>
      <c r="H919" s="13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3.5" customHeight="1">
      <c r="A920" s="12"/>
      <c r="B920" s="12"/>
      <c r="C920" s="12"/>
      <c r="D920" s="12"/>
      <c r="E920" s="12"/>
      <c r="F920" s="13"/>
      <c r="G920" s="13"/>
      <c r="H920" s="13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3.5" customHeight="1">
      <c r="A921" s="12"/>
      <c r="B921" s="12"/>
      <c r="C921" s="12"/>
      <c r="D921" s="12"/>
      <c r="E921" s="12"/>
      <c r="F921" s="13"/>
      <c r="G921" s="13"/>
      <c r="H921" s="13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3.5" customHeight="1">
      <c r="A922" s="12"/>
      <c r="B922" s="12"/>
      <c r="C922" s="12"/>
      <c r="D922" s="12"/>
      <c r="E922" s="12"/>
      <c r="F922" s="13"/>
      <c r="G922" s="13"/>
      <c r="H922" s="13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3.5" customHeight="1">
      <c r="A923" s="12"/>
      <c r="B923" s="12"/>
      <c r="C923" s="12"/>
      <c r="D923" s="12"/>
      <c r="E923" s="12"/>
      <c r="F923" s="13"/>
      <c r="G923" s="13"/>
      <c r="H923" s="13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3.5" customHeight="1">
      <c r="A924" s="12"/>
      <c r="B924" s="12"/>
      <c r="C924" s="12"/>
      <c r="D924" s="12"/>
      <c r="E924" s="12"/>
      <c r="F924" s="13"/>
      <c r="G924" s="13"/>
      <c r="H924" s="13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3.5" customHeight="1">
      <c r="A925" s="12"/>
      <c r="B925" s="12"/>
      <c r="C925" s="12"/>
      <c r="D925" s="12"/>
      <c r="E925" s="12"/>
      <c r="F925" s="13"/>
      <c r="G925" s="13"/>
      <c r="H925" s="13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3.5" customHeight="1">
      <c r="A926" s="12"/>
      <c r="B926" s="12"/>
      <c r="C926" s="12"/>
      <c r="D926" s="12"/>
      <c r="E926" s="12"/>
      <c r="F926" s="13"/>
      <c r="G926" s="13"/>
      <c r="H926" s="13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3.5" customHeight="1">
      <c r="A927" s="12"/>
      <c r="B927" s="12"/>
      <c r="C927" s="12"/>
      <c r="D927" s="12"/>
      <c r="E927" s="12"/>
      <c r="F927" s="13"/>
      <c r="G927" s="13"/>
      <c r="H927" s="13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3.5" customHeight="1">
      <c r="A928" s="12"/>
      <c r="B928" s="12"/>
      <c r="C928" s="12"/>
      <c r="D928" s="12"/>
      <c r="E928" s="12"/>
      <c r="F928" s="13"/>
      <c r="G928" s="13"/>
      <c r="H928" s="13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3.5" customHeight="1">
      <c r="A929" s="12"/>
      <c r="B929" s="12"/>
      <c r="C929" s="12"/>
      <c r="D929" s="12"/>
      <c r="E929" s="12"/>
      <c r="F929" s="13"/>
      <c r="G929" s="13"/>
      <c r="H929" s="13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3.5" customHeight="1">
      <c r="A930" s="12"/>
      <c r="B930" s="12"/>
      <c r="C930" s="12"/>
      <c r="D930" s="12"/>
      <c r="E930" s="12"/>
      <c r="F930" s="13"/>
      <c r="G930" s="13"/>
      <c r="H930" s="13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3.5" customHeight="1">
      <c r="A931" s="12"/>
      <c r="B931" s="12"/>
      <c r="C931" s="12"/>
      <c r="D931" s="12"/>
      <c r="E931" s="12"/>
      <c r="F931" s="13"/>
      <c r="G931" s="13"/>
      <c r="H931" s="13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3.5" customHeight="1">
      <c r="A932" s="12"/>
      <c r="B932" s="12"/>
      <c r="C932" s="12"/>
      <c r="D932" s="12"/>
      <c r="E932" s="12"/>
      <c r="F932" s="13"/>
      <c r="G932" s="13"/>
      <c r="H932" s="13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3.5" customHeight="1">
      <c r="A933" s="12"/>
      <c r="B933" s="12"/>
      <c r="C933" s="12"/>
      <c r="D933" s="12"/>
      <c r="E933" s="12"/>
      <c r="F933" s="13"/>
      <c r="G933" s="13"/>
      <c r="H933" s="13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3.5" customHeight="1">
      <c r="A934" s="12"/>
      <c r="B934" s="12"/>
      <c r="C934" s="12"/>
      <c r="D934" s="12"/>
      <c r="E934" s="12"/>
      <c r="F934" s="13"/>
      <c r="G934" s="13"/>
      <c r="H934" s="13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3.5" customHeight="1">
      <c r="A935" s="12"/>
      <c r="B935" s="12"/>
      <c r="C935" s="12"/>
      <c r="D935" s="12"/>
      <c r="E935" s="12"/>
      <c r="F935" s="13"/>
      <c r="G935" s="13"/>
      <c r="H935" s="13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3.5" customHeight="1">
      <c r="A936" s="12"/>
      <c r="B936" s="12"/>
      <c r="C936" s="12"/>
      <c r="D936" s="12"/>
      <c r="E936" s="12"/>
      <c r="F936" s="13"/>
      <c r="G936" s="13"/>
      <c r="H936" s="13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3.5" customHeight="1">
      <c r="A937" s="12"/>
      <c r="B937" s="12"/>
      <c r="C937" s="12"/>
      <c r="D937" s="12"/>
      <c r="E937" s="12"/>
      <c r="F937" s="13"/>
      <c r="G937" s="13"/>
      <c r="H937" s="13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3.5" customHeight="1">
      <c r="A938" s="12"/>
      <c r="B938" s="12"/>
      <c r="C938" s="12"/>
      <c r="D938" s="12"/>
      <c r="E938" s="12"/>
      <c r="F938" s="13"/>
      <c r="G938" s="13"/>
      <c r="H938" s="13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3.5" customHeight="1">
      <c r="A939" s="12"/>
      <c r="B939" s="12"/>
      <c r="C939" s="12"/>
      <c r="D939" s="12"/>
      <c r="E939" s="12"/>
      <c r="F939" s="13"/>
      <c r="G939" s="13"/>
      <c r="H939" s="13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3.5" customHeight="1">
      <c r="A940" s="12"/>
      <c r="B940" s="12"/>
      <c r="C940" s="12"/>
      <c r="D940" s="12"/>
      <c r="E940" s="12"/>
      <c r="F940" s="13"/>
      <c r="G940" s="13"/>
      <c r="H940" s="13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3.5" customHeight="1">
      <c r="A941" s="12"/>
      <c r="B941" s="12"/>
      <c r="C941" s="12"/>
      <c r="D941" s="12"/>
      <c r="E941" s="12"/>
      <c r="F941" s="13"/>
      <c r="G941" s="13"/>
      <c r="H941" s="13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3.5" customHeight="1">
      <c r="A942" s="12"/>
      <c r="B942" s="12"/>
      <c r="C942" s="12"/>
      <c r="D942" s="12"/>
      <c r="E942" s="12"/>
      <c r="F942" s="13"/>
      <c r="G942" s="13"/>
      <c r="H942" s="13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3.5" customHeight="1">
      <c r="A943" s="12"/>
      <c r="B943" s="12"/>
      <c r="C943" s="12"/>
      <c r="D943" s="12"/>
      <c r="E943" s="12"/>
      <c r="F943" s="13"/>
      <c r="G943" s="13"/>
      <c r="H943" s="13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3.5" customHeight="1">
      <c r="A944" s="12"/>
      <c r="B944" s="12"/>
      <c r="C944" s="12"/>
      <c r="D944" s="12"/>
      <c r="E944" s="12"/>
      <c r="F944" s="13"/>
      <c r="G944" s="13"/>
      <c r="H944" s="13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3.5" customHeight="1">
      <c r="A945" s="12"/>
      <c r="B945" s="12"/>
      <c r="C945" s="12"/>
      <c r="D945" s="12"/>
      <c r="E945" s="12"/>
      <c r="F945" s="13"/>
      <c r="G945" s="13"/>
      <c r="H945" s="13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3.5" customHeight="1">
      <c r="A946" s="12"/>
      <c r="B946" s="12"/>
      <c r="C946" s="12"/>
      <c r="D946" s="12"/>
      <c r="E946" s="12"/>
      <c r="F946" s="13"/>
      <c r="G946" s="13"/>
      <c r="H946" s="13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3.5" customHeight="1">
      <c r="A947" s="12"/>
      <c r="B947" s="12"/>
      <c r="C947" s="12"/>
      <c r="D947" s="12"/>
      <c r="E947" s="12"/>
      <c r="F947" s="13"/>
      <c r="G947" s="13"/>
      <c r="H947" s="13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3.5" customHeight="1">
      <c r="A948" s="12"/>
      <c r="B948" s="12"/>
      <c r="C948" s="12"/>
      <c r="D948" s="12"/>
      <c r="E948" s="12"/>
      <c r="F948" s="13"/>
      <c r="G948" s="13"/>
      <c r="H948" s="13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3.5" customHeight="1">
      <c r="A949" s="12"/>
      <c r="B949" s="12"/>
      <c r="C949" s="12"/>
      <c r="D949" s="12"/>
      <c r="E949" s="12"/>
      <c r="F949" s="13"/>
      <c r="G949" s="13"/>
      <c r="H949" s="13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3.5" customHeight="1">
      <c r="A950" s="12"/>
      <c r="B950" s="12"/>
      <c r="C950" s="12"/>
      <c r="D950" s="12"/>
      <c r="E950" s="12"/>
      <c r="F950" s="13"/>
      <c r="G950" s="13"/>
      <c r="H950" s="13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3.5" customHeight="1">
      <c r="A951" s="12"/>
      <c r="B951" s="12"/>
      <c r="C951" s="12"/>
      <c r="D951" s="12"/>
      <c r="E951" s="12"/>
      <c r="F951" s="13"/>
      <c r="G951" s="13"/>
      <c r="H951" s="13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3.5" customHeight="1">
      <c r="A952" s="12"/>
      <c r="B952" s="12"/>
      <c r="C952" s="12"/>
      <c r="D952" s="12"/>
      <c r="E952" s="12"/>
      <c r="F952" s="13"/>
      <c r="G952" s="13"/>
      <c r="H952" s="13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3.5" customHeight="1">
      <c r="A953" s="12"/>
      <c r="B953" s="12"/>
      <c r="C953" s="12"/>
      <c r="D953" s="12"/>
      <c r="E953" s="12"/>
      <c r="F953" s="13"/>
      <c r="G953" s="13"/>
      <c r="H953" s="13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3.5" customHeight="1">
      <c r="A954" s="12"/>
      <c r="B954" s="12"/>
      <c r="C954" s="12"/>
      <c r="D954" s="12"/>
      <c r="E954" s="12"/>
      <c r="F954" s="13"/>
      <c r="G954" s="13"/>
      <c r="H954" s="13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3.5" customHeight="1">
      <c r="A955" s="12"/>
      <c r="B955" s="12"/>
      <c r="C955" s="12"/>
      <c r="D955" s="12"/>
      <c r="E955" s="12"/>
      <c r="F955" s="13"/>
      <c r="G955" s="13"/>
      <c r="H955" s="13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3.5" customHeight="1">
      <c r="A956" s="12"/>
      <c r="B956" s="12"/>
      <c r="C956" s="12"/>
      <c r="D956" s="12"/>
      <c r="E956" s="12"/>
      <c r="F956" s="13"/>
      <c r="G956" s="13"/>
      <c r="H956" s="13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3.5" customHeight="1">
      <c r="A957" s="12"/>
      <c r="B957" s="12"/>
      <c r="C957" s="12"/>
      <c r="D957" s="12"/>
      <c r="E957" s="12"/>
      <c r="F957" s="13"/>
      <c r="G957" s="13"/>
      <c r="H957" s="13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3.5" customHeight="1">
      <c r="A958" s="12"/>
      <c r="B958" s="12"/>
      <c r="C958" s="12"/>
      <c r="D958" s="12"/>
      <c r="E958" s="12"/>
      <c r="F958" s="13"/>
      <c r="G958" s="13"/>
      <c r="H958" s="13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3.5" customHeight="1">
      <c r="A959" s="12"/>
      <c r="B959" s="12"/>
      <c r="C959" s="12"/>
      <c r="D959" s="12"/>
      <c r="E959" s="12"/>
      <c r="F959" s="13"/>
      <c r="G959" s="13"/>
      <c r="H959" s="13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3.5" customHeight="1">
      <c r="A960" s="12"/>
      <c r="B960" s="12"/>
      <c r="C960" s="12"/>
      <c r="D960" s="12"/>
      <c r="E960" s="12"/>
      <c r="F960" s="13"/>
      <c r="G960" s="13"/>
      <c r="H960" s="13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3.5" customHeight="1">
      <c r="A961" s="12"/>
      <c r="B961" s="12"/>
      <c r="C961" s="12"/>
      <c r="D961" s="12"/>
      <c r="E961" s="12"/>
      <c r="F961" s="13"/>
      <c r="G961" s="13"/>
      <c r="H961" s="13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3.5" customHeight="1">
      <c r="A962" s="12"/>
      <c r="B962" s="12"/>
      <c r="C962" s="12"/>
      <c r="D962" s="12"/>
      <c r="E962" s="12"/>
      <c r="F962" s="13"/>
      <c r="G962" s="13"/>
      <c r="H962" s="13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3.5" customHeight="1">
      <c r="A963" s="12"/>
      <c r="B963" s="12"/>
      <c r="C963" s="12"/>
      <c r="D963" s="12"/>
      <c r="E963" s="12"/>
      <c r="F963" s="13"/>
      <c r="G963" s="13"/>
      <c r="H963" s="13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3.5" customHeight="1">
      <c r="A964" s="12"/>
      <c r="B964" s="12"/>
      <c r="C964" s="12"/>
      <c r="D964" s="12"/>
      <c r="E964" s="12"/>
      <c r="F964" s="13"/>
      <c r="G964" s="13"/>
      <c r="H964" s="13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3.5" customHeight="1">
      <c r="A965" s="12"/>
      <c r="B965" s="12"/>
      <c r="C965" s="12"/>
      <c r="D965" s="12"/>
      <c r="E965" s="12"/>
      <c r="F965" s="13"/>
      <c r="G965" s="13"/>
      <c r="H965" s="13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3.5" customHeight="1">
      <c r="A966" s="12"/>
      <c r="B966" s="12"/>
      <c r="C966" s="12"/>
      <c r="D966" s="12"/>
      <c r="E966" s="12"/>
      <c r="F966" s="13"/>
      <c r="G966" s="13"/>
      <c r="H966" s="13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3.5" customHeight="1">
      <c r="A967" s="12"/>
      <c r="B967" s="12"/>
      <c r="C967" s="12"/>
      <c r="D967" s="12"/>
      <c r="E967" s="12"/>
      <c r="F967" s="13"/>
      <c r="G967" s="13"/>
      <c r="H967" s="13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3.5" customHeight="1">
      <c r="A968" s="12"/>
      <c r="B968" s="12"/>
      <c r="C968" s="12"/>
      <c r="D968" s="12"/>
      <c r="E968" s="12"/>
      <c r="F968" s="13"/>
      <c r="G968" s="13"/>
      <c r="H968" s="13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3.5" customHeight="1">
      <c r="A969" s="12"/>
      <c r="B969" s="12"/>
      <c r="C969" s="12"/>
      <c r="D969" s="12"/>
      <c r="E969" s="12"/>
      <c r="F969" s="13"/>
      <c r="G969" s="13"/>
      <c r="H969" s="13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3.5" customHeight="1">
      <c r="A970" s="12"/>
      <c r="B970" s="12"/>
      <c r="C970" s="12"/>
      <c r="D970" s="12"/>
      <c r="E970" s="12"/>
      <c r="F970" s="13"/>
      <c r="G970" s="13"/>
      <c r="H970" s="13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3.5" customHeight="1">
      <c r="A971" s="12"/>
      <c r="B971" s="12"/>
      <c r="C971" s="12"/>
      <c r="D971" s="12"/>
      <c r="E971" s="12"/>
      <c r="F971" s="13"/>
      <c r="G971" s="13"/>
      <c r="H971" s="13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3.5" customHeight="1">
      <c r="A972" s="12"/>
      <c r="B972" s="12"/>
      <c r="C972" s="12"/>
      <c r="D972" s="12"/>
      <c r="E972" s="12"/>
      <c r="F972" s="13"/>
      <c r="G972" s="13"/>
      <c r="H972" s="13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3.5" customHeight="1">
      <c r="A973" s="12"/>
      <c r="B973" s="12"/>
      <c r="C973" s="12"/>
      <c r="D973" s="12"/>
      <c r="E973" s="12"/>
      <c r="F973" s="13"/>
      <c r="G973" s="13"/>
      <c r="H973" s="13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3.5" customHeight="1">
      <c r="A974" s="12"/>
      <c r="B974" s="12"/>
      <c r="C974" s="12"/>
      <c r="D974" s="12"/>
      <c r="E974" s="12"/>
      <c r="F974" s="13"/>
      <c r="G974" s="13"/>
      <c r="H974" s="13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3.5" customHeight="1">
      <c r="A975" s="12"/>
      <c r="B975" s="12"/>
      <c r="C975" s="12"/>
      <c r="D975" s="12"/>
      <c r="E975" s="12"/>
      <c r="F975" s="13"/>
      <c r="G975" s="13"/>
      <c r="H975" s="13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3.5" customHeight="1">
      <c r="A976" s="12"/>
      <c r="B976" s="12"/>
      <c r="C976" s="12"/>
      <c r="D976" s="12"/>
      <c r="E976" s="12"/>
      <c r="F976" s="13"/>
      <c r="G976" s="13"/>
      <c r="H976" s="13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3.5" customHeight="1">
      <c r="A977" s="12"/>
      <c r="B977" s="12"/>
      <c r="C977" s="12"/>
      <c r="D977" s="12"/>
      <c r="E977" s="12"/>
      <c r="F977" s="13"/>
      <c r="G977" s="13"/>
      <c r="H977" s="13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3.5" customHeight="1">
      <c r="A978" s="12"/>
      <c r="B978" s="12"/>
      <c r="C978" s="12"/>
      <c r="D978" s="12"/>
      <c r="E978" s="12"/>
      <c r="F978" s="13"/>
      <c r="G978" s="13"/>
      <c r="H978" s="13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3.5" customHeight="1">
      <c r="A979" s="12"/>
      <c r="B979" s="12"/>
      <c r="C979" s="12"/>
      <c r="D979" s="12"/>
      <c r="E979" s="12"/>
      <c r="F979" s="13"/>
      <c r="G979" s="13"/>
      <c r="H979" s="13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3.5" customHeight="1">
      <c r="A980" s="12"/>
      <c r="B980" s="12"/>
      <c r="C980" s="12"/>
      <c r="D980" s="12"/>
      <c r="E980" s="12"/>
      <c r="F980" s="13"/>
      <c r="G980" s="13"/>
      <c r="H980" s="13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3.5" customHeight="1">
      <c r="A981" s="12"/>
      <c r="B981" s="12"/>
      <c r="C981" s="12"/>
      <c r="D981" s="12"/>
      <c r="E981" s="12"/>
      <c r="F981" s="13"/>
      <c r="G981" s="13"/>
      <c r="H981" s="13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3.5" customHeight="1">
      <c r="A982" s="12"/>
      <c r="B982" s="12"/>
      <c r="C982" s="12"/>
      <c r="D982" s="12"/>
      <c r="E982" s="12"/>
      <c r="F982" s="13"/>
      <c r="G982" s="13"/>
      <c r="H982" s="13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3.5" customHeight="1">
      <c r="A983" s="12"/>
      <c r="B983" s="12"/>
      <c r="C983" s="12"/>
      <c r="D983" s="12"/>
      <c r="E983" s="12"/>
      <c r="F983" s="13"/>
      <c r="G983" s="13"/>
      <c r="H983" s="13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3.5" customHeight="1">
      <c r="A984" s="12"/>
      <c r="B984" s="12"/>
      <c r="C984" s="12"/>
      <c r="D984" s="12"/>
      <c r="E984" s="12"/>
      <c r="F984" s="13"/>
      <c r="G984" s="13"/>
      <c r="H984" s="13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3.5" customHeight="1">
      <c r="A985" s="12"/>
      <c r="B985" s="12"/>
      <c r="C985" s="12"/>
      <c r="D985" s="12"/>
      <c r="E985" s="12"/>
      <c r="F985" s="13"/>
      <c r="G985" s="13"/>
      <c r="H985" s="13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3.5" customHeight="1">
      <c r="A986" s="12"/>
      <c r="B986" s="12"/>
      <c r="C986" s="12"/>
      <c r="D986" s="12"/>
      <c r="E986" s="12"/>
      <c r="F986" s="13"/>
      <c r="G986" s="13"/>
      <c r="H986" s="13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3.5" customHeight="1">
      <c r="A987" s="12"/>
      <c r="B987" s="12"/>
      <c r="C987" s="12"/>
      <c r="D987" s="12"/>
      <c r="E987" s="12"/>
      <c r="F987" s="13"/>
      <c r="G987" s="13"/>
      <c r="H987" s="13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3.5" customHeight="1">
      <c r="A988" s="12"/>
      <c r="B988" s="12"/>
      <c r="C988" s="12"/>
      <c r="D988" s="12"/>
      <c r="E988" s="12"/>
      <c r="F988" s="13"/>
      <c r="G988" s="13"/>
      <c r="H988" s="13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3.5" customHeight="1">
      <c r="A989" s="12"/>
      <c r="B989" s="12"/>
      <c r="C989" s="12"/>
      <c r="D989" s="12"/>
      <c r="E989" s="12"/>
      <c r="F989" s="13"/>
      <c r="G989" s="13"/>
      <c r="H989" s="13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3.5" customHeight="1">
      <c r="A990" s="12"/>
      <c r="B990" s="12"/>
      <c r="C990" s="12"/>
      <c r="D990" s="12"/>
      <c r="E990" s="12"/>
      <c r="F990" s="13"/>
      <c r="G990" s="13"/>
      <c r="H990" s="13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3.5" customHeight="1">
      <c r="A991" s="12"/>
      <c r="B991" s="12"/>
      <c r="C991" s="12"/>
      <c r="D991" s="12"/>
      <c r="E991" s="12"/>
      <c r="F991" s="13"/>
      <c r="G991" s="13"/>
      <c r="H991" s="13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3.5" customHeight="1">
      <c r="A992" s="12"/>
      <c r="B992" s="12"/>
      <c r="C992" s="12"/>
      <c r="D992" s="12"/>
      <c r="E992" s="12"/>
      <c r="F992" s="13"/>
      <c r="G992" s="13"/>
      <c r="H992" s="13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3.5" customHeight="1">
      <c r="A993" s="12"/>
      <c r="B993" s="12"/>
      <c r="C993" s="12"/>
      <c r="D993" s="12"/>
      <c r="E993" s="12"/>
      <c r="F993" s="13"/>
      <c r="G993" s="13"/>
      <c r="H993" s="13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3.5" customHeight="1">
      <c r="A994" s="12"/>
      <c r="B994" s="12"/>
      <c r="C994" s="12"/>
      <c r="D994" s="12"/>
      <c r="E994" s="12"/>
      <c r="F994" s="13"/>
      <c r="G994" s="13"/>
      <c r="H994" s="13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3.5" customHeight="1">
      <c r="A995" s="12"/>
      <c r="B995" s="12"/>
      <c r="C995" s="12"/>
      <c r="D995" s="12"/>
      <c r="E995" s="12"/>
      <c r="F995" s="13"/>
      <c r="G995" s="13"/>
      <c r="H995" s="13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3.5" customHeight="1">
      <c r="A996" s="12"/>
      <c r="B996" s="12"/>
      <c r="C996" s="12"/>
      <c r="D996" s="12"/>
      <c r="E996" s="12"/>
      <c r="F996" s="13"/>
      <c r="G996" s="13"/>
      <c r="H996" s="13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3.5" customHeight="1">
      <c r="A997" s="12"/>
      <c r="B997" s="12"/>
      <c r="C997" s="12"/>
      <c r="D997" s="12"/>
      <c r="E997" s="12"/>
      <c r="F997" s="13"/>
      <c r="G997" s="13"/>
      <c r="H997" s="13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3.5" customHeight="1">
      <c r="A998" s="12"/>
      <c r="B998" s="12"/>
      <c r="C998" s="12"/>
      <c r="D998" s="12"/>
      <c r="E998" s="12"/>
      <c r="F998" s="13"/>
      <c r="G998" s="13"/>
      <c r="H998" s="13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3.5" customHeight="1">
      <c r="A999" s="12"/>
      <c r="B999" s="12"/>
      <c r="C999" s="12"/>
      <c r="D999" s="12"/>
      <c r="E999" s="12"/>
      <c r="F999" s="13"/>
      <c r="G999" s="13"/>
      <c r="H999" s="13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</sheetData>
  <mergeCells count="6">
    <mergeCell ref="B2:C2"/>
    <mergeCell ref="B12:C12"/>
    <mergeCell ref="B20:C20"/>
    <mergeCell ref="B25:C25"/>
    <mergeCell ref="B29:C29"/>
    <mergeCell ref="B37:C37"/>
  </mergeCells>
  <dataValidations>
    <dataValidation type="list" allowBlank="1" showErrorMessage="1" sqref="C13">
      <formula1>lenguajes!$B$2:$B$483</formula1>
    </dataValidation>
  </dataValidations>
  <printOptions/>
  <pageMargins bottom="0.75" footer="0.0" header="0.0" left="0.7" right="0.7" top="0.75"/>
  <pageSetup orientation="portrait"/>
  <headerFooter>
    <oddHeader>&amp;C 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29"/>
    <col customWidth="1" min="2" max="2" width="22.86"/>
    <col customWidth="1" min="3" max="3" width="6.43"/>
    <col customWidth="1" min="4" max="26" width="77.0"/>
  </cols>
  <sheetData>
    <row r="1" ht="13.5" customHeight="1">
      <c r="A1" s="41" t="s">
        <v>76</v>
      </c>
      <c r="B1" s="41" t="s">
        <v>50</v>
      </c>
      <c r="C1" s="41" t="s">
        <v>77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42" t="s">
        <v>78</v>
      </c>
      <c r="B2" s="43" t="s">
        <v>79</v>
      </c>
      <c r="C2" s="43">
        <v>320.0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>
      <c r="A3" s="42" t="s">
        <v>80</v>
      </c>
      <c r="B3" s="43" t="s">
        <v>81</v>
      </c>
      <c r="C3" s="43">
        <v>107.0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3.5" customHeight="1">
      <c r="A4" s="42" t="s">
        <v>82</v>
      </c>
      <c r="B4" s="43" t="s">
        <v>51</v>
      </c>
      <c r="C4" s="43">
        <v>80.0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3.5" customHeight="1">
      <c r="A5" s="42" t="s">
        <v>83</v>
      </c>
      <c r="B5" s="43" t="s">
        <v>84</v>
      </c>
      <c r="C5" s="43">
        <v>20.0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3.5" customHeight="1">
      <c r="A6" s="42" t="s">
        <v>85</v>
      </c>
      <c r="B6" s="43" t="s">
        <v>86</v>
      </c>
      <c r="C6" s="43">
        <v>5.0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3.5" customHeight="1">
      <c r="A7" s="42" t="s">
        <v>87</v>
      </c>
      <c r="B7" s="43" t="s">
        <v>88</v>
      </c>
      <c r="C7" s="43">
        <v>91.0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3.5" customHeight="1">
      <c r="A8" s="42" t="s">
        <v>89</v>
      </c>
      <c r="B8" s="43" t="s">
        <v>90</v>
      </c>
      <c r="C8" s="43">
        <v>16.0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3.5" customHeight="1">
      <c r="A9" s="42" t="s">
        <v>91</v>
      </c>
      <c r="B9" s="43" t="s">
        <v>92</v>
      </c>
      <c r="C9" s="43">
        <v>19.0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3.5" customHeight="1">
      <c r="A10" s="42" t="s">
        <v>93</v>
      </c>
      <c r="B10" s="43" t="s">
        <v>94</v>
      </c>
      <c r="C10" s="43">
        <v>38.0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3.5" customHeight="1">
      <c r="A11" s="42" t="s">
        <v>95</v>
      </c>
      <c r="B11" s="43" t="s">
        <v>96</v>
      </c>
      <c r="C11" s="43">
        <v>21.0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3.5" customHeight="1">
      <c r="A12" s="42" t="s">
        <v>97</v>
      </c>
      <c r="B12" s="43" t="s">
        <v>98</v>
      </c>
      <c r="C12" s="43">
        <v>28.0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3.5" customHeight="1">
      <c r="A13" s="42" t="s">
        <v>99</v>
      </c>
      <c r="B13" s="43" t="s">
        <v>100</v>
      </c>
      <c r="C13" s="43">
        <v>71.0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3.5" customHeight="1">
      <c r="A14" s="42" t="s">
        <v>101</v>
      </c>
      <c r="B14" s="43" t="s">
        <v>102</v>
      </c>
      <c r="C14" s="43">
        <v>49.0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42" t="s">
        <v>103</v>
      </c>
      <c r="B15" s="43" t="s">
        <v>104</v>
      </c>
      <c r="C15" s="43">
        <v>40.0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3.5" customHeight="1">
      <c r="A16" s="42" t="s">
        <v>105</v>
      </c>
      <c r="B16" s="43" t="s">
        <v>106</v>
      </c>
      <c r="C16" s="43">
        <v>20.0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3.5" customHeight="1">
      <c r="A17" s="42" t="s">
        <v>107</v>
      </c>
      <c r="B17" s="43" t="s">
        <v>108</v>
      </c>
      <c r="C17" s="43">
        <v>20.0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3.5" customHeight="1">
      <c r="A18" s="42" t="s">
        <v>109</v>
      </c>
      <c r="B18" s="43" t="s">
        <v>110</v>
      </c>
      <c r="C18" s="43">
        <v>20.0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3.5" customHeight="1">
      <c r="A19" s="42" t="s">
        <v>111</v>
      </c>
      <c r="B19" s="43" t="s">
        <v>112</v>
      </c>
      <c r="C19" s="43">
        <v>49.0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3.5" customHeight="1">
      <c r="A20" s="42" t="s">
        <v>113</v>
      </c>
      <c r="B20" s="43" t="s">
        <v>114</v>
      </c>
      <c r="C20" s="43">
        <v>49.0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3.5" customHeight="1">
      <c r="A21" s="42" t="s">
        <v>115</v>
      </c>
      <c r="B21" s="43" t="s">
        <v>116</v>
      </c>
      <c r="C21" s="43">
        <v>107.0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3.5" customHeight="1">
      <c r="A22" s="42" t="s">
        <v>117</v>
      </c>
      <c r="B22" s="43" t="s">
        <v>118</v>
      </c>
      <c r="C22" s="43">
        <v>107.0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3.5" customHeight="1">
      <c r="A23" s="42" t="s">
        <v>119</v>
      </c>
      <c r="B23" s="43" t="s">
        <v>120</v>
      </c>
      <c r="C23" s="43">
        <v>32.0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3.5" customHeight="1">
      <c r="A24" s="42" t="s">
        <v>121</v>
      </c>
      <c r="B24" s="43" t="s">
        <v>122</v>
      </c>
      <c r="C24" s="43">
        <v>49.0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3.5" customHeight="1">
      <c r="A25" s="42" t="s">
        <v>123</v>
      </c>
      <c r="B25" s="43" t="s">
        <v>124</v>
      </c>
      <c r="C25" s="43">
        <v>64.0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3.5" customHeight="1">
      <c r="A26" s="42" t="s">
        <v>125</v>
      </c>
      <c r="B26" s="43" t="s">
        <v>126</v>
      </c>
      <c r="C26" s="43">
        <v>64.0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3.5" customHeight="1">
      <c r="A27" s="42" t="s">
        <v>127</v>
      </c>
      <c r="B27" s="43" t="s">
        <v>128</v>
      </c>
      <c r="C27" s="43">
        <v>107.0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>
      <c r="A28" s="42" t="s">
        <v>129</v>
      </c>
      <c r="B28" s="43" t="s">
        <v>130</v>
      </c>
      <c r="C28" s="43">
        <v>91.0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3.5" customHeight="1">
      <c r="A29" s="42" t="s">
        <v>131</v>
      </c>
      <c r="B29" s="43" t="s">
        <v>132</v>
      </c>
      <c r="C29" s="43">
        <v>13.0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3.5" customHeight="1">
      <c r="A30" s="42" t="s">
        <v>133</v>
      </c>
      <c r="B30" s="43" t="s">
        <v>134</v>
      </c>
      <c r="C30" s="43">
        <v>13.0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42" t="s">
        <v>135</v>
      </c>
      <c r="B31" s="43" t="s">
        <v>136</v>
      </c>
      <c r="C31" s="43">
        <v>32.0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3.5" customHeight="1">
      <c r="A32" s="42" t="s">
        <v>137</v>
      </c>
      <c r="B32" s="43" t="s">
        <v>138</v>
      </c>
      <c r="C32" s="43">
        <v>32.0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>
      <c r="A33" s="42" t="s">
        <v>139</v>
      </c>
      <c r="B33" s="43" t="s">
        <v>140</v>
      </c>
      <c r="C33" s="43">
        <v>32.0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42" t="s">
        <v>141</v>
      </c>
      <c r="B34" s="43" t="s">
        <v>142</v>
      </c>
      <c r="C34" s="43">
        <v>128.0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>
      <c r="A35" s="42" t="s">
        <v>143</v>
      </c>
      <c r="B35" s="43" t="s">
        <v>144</v>
      </c>
      <c r="C35" s="43">
        <v>20.0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>
      <c r="A36" s="42" t="s">
        <v>145</v>
      </c>
      <c r="B36" s="43" t="s">
        <v>146</v>
      </c>
      <c r="C36" s="43">
        <v>36.0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>
      <c r="A37" s="42" t="s">
        <v>147</v>
      </c>
      <c r="B37" s="43" t="s">
        <v>148</v>
      </c>
      <c r="C37" s="43">
        <v>17.0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>
      <c r="A38" s="42" t="s">
        <v>149</v>
      </c>
      <c r="B38" s="43" t="s">
        <v>150</v>
      </c>
      <c r="C38" s="43">
        <v>71.0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3.5" customHeight="1">
      <c r="A39" s="42" t="s">
        <v>151</v>
      </c>
      <c r="B39" s="43" t="s">
        <v>152</v>
      </c>
      <c r="C39" s="43">
        <v>20.0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.5" customHeight="1">
      <c r="A40" s="42" t="s">
        <v>153</v>
      </c>
      <c r="B40" s="43" t="s">
        <v>154</v>
      </c>
      <c r="C40" s="43">
        <v>49.0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3.5" customHeight="1">
      <c r="A41" s="42" t="s">
        <v>155</v>
      </c>
      <c r="B41" s="43" t="s">
        <v>156</v>
      </c>
      <c r="C41" s="43">
        <v>107.0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3.5" customHeight="1">
      <c r="A42" s="42" t="s">
        <v>157</v>
      </c>
      <c r="B42" s="43" t="s">
        <v>158</v>
      </c>
      <c r="C42" s="43">
        <v>49.0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>
      <c r="A43" s="42" t="s">
        <v>159</v>
      </c>
      <c r="B43" s="43" t="s">
        <v>160</v>
      </c>
      <c r="C43" s="43">
        <v>64.0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>
      <c r="A44" s="42" t="s">
        <v>161</v>
      </c>
      <c r="B44" s="43" t="s">
        <v>162</v>
      </c>
      <c r="C44" s="43">
        <v>49.0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>
      <c r="A45" s="42" t="s">
        <v>163</v>
      </c>
      <c r="B45" s="43" t="s">
        <v>164</v>
      </c>
      <c r="C45" s="43">
        <v>46.0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>
      <c r="A46" s="42" t="s">
        <v>165</v>
      </c>
      <c r="B46" s="43" t="s">
        <v>166</v>
      </c>
      <c r="C46" s="43">
        <v>46.0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>
      <c r="A47" s="42" t="s">
        <v>167</v>
      </c>
      <c r="B47" s="43" t="s">
        <v>168</v>
      </c>
      <c r="C47" s="43">
        <v>40.0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3.5" customHeight="1">
      <c r="A48" s="42" t="s">
        <v>169</v>
      </c>
      <c r="B48" s="43" t="s">
        <v>170</v>
      </c>
      <c r="C48" s="43">
        <v>19.0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>
      <c r="A49" s="42" t="s">
        <v>171</v>
      </c>
      <c r="B49" s="43" t="s">
        <v>172</v>
      </c>
      <c r="C49" s="43">
        <v>13.0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42" t="s">
        <v>173</v>
      </c>
      <c r="B50" s="43" t="s">
        <v>174</v>
      </c>
      <c r="C50" s="43">
        <v>46.0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>
      <c r="A51" s="42" t="s">
        <v>175</v>
      </c>
      <c r="B51" s="43" t="s">
        <v>176</v>
      </c>
      <c r="C51" s="43">
        <v>320.0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>
      <c r="A52" s="42" t="s">
        <v>177</v>
      </c>
      <c r="B52" s="43" t="s">
        <v>178</v>
      </c>
      <c r="C52" s="43">
        <v>213.0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>
      <c r="A53" s="42" t="s">
        <v>179</v>
      </c>
      <c r="B53" s="43" t="s">
        <v>180</v>
      </c>
      <c r="C53" s="43">
        <v>64.0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>
      <c r="A54" s="42" t="s">
        <v>181</v>
      </c>
      <c r="B54" s="43" t="s">
        <v>182</v>
      </c>
      <c r="C54" s="43">
        <v>320.0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>
      <c r="A55" s="42" t="s">
        <v>183</v>
      </c>
      <c r="B55" s="43" t="s">
        <v>184</v>
      </c>
      <c r="C55" s="43">
        <v>21.0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>
      <c r="A56" s="42" t="s">
        <v>185</v>
      </c>
      <c r="B56" s="43" t="s">
        <v>186</v>
      </c>
      <c r="C56" s="43">
        <v>128.0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>
      <c r="A57" s="42" t="s">
        <v>187</v>
      </c>
      <c r="B57" s="43" t="s">
        <v>188</v>
      </c>
      <c r="C57" s="43">
        <v>107.0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>
      <c r="A58" s="42" t="s">
        <v>189</v>
      </c>
      <c r="B58" s="43" t="s">
        <v>190</v>
      </c>
      <c r="C58" s="43">
        <v>53.0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>
      <c r="A59" s="42" t="s">
        <v>191</v>
      </c>
      <c r="B59" s="43" t="s">
        <v>192</v>
      </c>
      <c r="C59" s="43">
        <v>107.0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>
      <c r="A60" s="42" t="s">
        <v>193</v>
      </c>
      <c r="B60" s="43" t="s">
        <v>194</v>
      </c>
      <c r="C60" s="43">
        <v>128.0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>
      <c r="A61" s="42" t="s">
        <v>195</v>
      </c>
      <c r="B61" s="43" t="s">
        <v>196</v>
      </c>
      <c r="C61" s="43">
        <v>320.0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>
      <c r="A62" s="42" t="s">
        <v>197</v>
      </c>
      <c r="B62" s="43" t="s">
        <v>198</v>
      </c>
      <c r="C62" s="43">
        <v>91.0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>
      <c r="A63" s="42" t="s">
        <v>199</v>
      </c>
      <c r="B63" s="43" t="s">
        <v>200</v>
      </c>
      <c r="C63" s="43">
        <v>91.0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>
      <c r="A64" s="42" t="s">
        <v>201</v>
      </c>
      <c r="B64" s="43" t="s">
        <v>202</v>
      </c>
      <c r="C64" s="43">
        <v>107.0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>
      <c r="A65" s="42" t="s">
        <v>203</v>
      </c>
      <c r="B65" s="43" t="s">
        <v>204</v>
      </c>
      <c r="C65" s="43">
        <v>36.0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>
      <c r="A66" s="42" t="s">
        <v>205</v>
      </c>
      <c r="B66" s="43" t="s">
        <v>206</v>
      </c>
      <c r="C66" s="43">
        <v>6.0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>
      <c r="A67" s="42" t="s">
        <v>207</v>
      </c>
      <c r="B67" s="43" t="s">
        <v>208</v>
      </c>
      <c r="C67" s="43">
        <v>13.0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>
      <c r="A68" s="42" t="s">
        <v>209</v>
      </c>
      <c r="B68" s="43" t="s">
        <v>210</v>
      </c>
      <c r="C68" s="43">
        <v>128.0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>
      <c r="A69" s="42" t="s">
        <v>211</v>
      </c>
      <c r="B69" s="43" t="s">
        <v>212</v>
      </c>
      <c r="C69" s="43">
        <v>91.0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>
      <c r="A70" s="42" t="s">
        <v>213</v>
      </c>
      <c r="B70" s="43" t="s">
        <v>214</v>
      </c>
      <c r="C70" s="43">
        <v>53.0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42" t="s">
        <v>215</v>
      </c>
      <c r="B71" s="43" t="s">
        <v>216</v>
      </c>
      <c r="C71" s="43">
        <v>128.0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>
      <c r="A72" s="42" t="s">
        <v>217</v>
      </c>
      <c r="B72" s="43" t="s">
        <v>218</v>
      </c>
      <c r="C72" s="43">
        <v>40.0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>
      <c r="A73" s="42" t="s">
        <v>219</v>
      </c>
      <c r="B73" s="43" t="s">
        <v>220</v>
      </c>
      <c r="C73" s="43">
        <v>28.0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>
      <c r="A74" s="42" t="s">
        <v>221</v>
      </c>
      <c r="B74" s="43" t="s">
        <v>222</v>
      </c>
      <c r="C74" s="43">
        <v>49.0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>
      <c r="A75" s="42" t="s">
        <v>223</v>
      </c>
      <c r="B75" s="43" t="s">
        <v>224</v>
      </c>
      <c r="C75" s="43">
        <v>91.0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>
      <c r="A76" s="42" t="s">
        <v>225</v>
      </c>
      <c r="B76" s="43" t="s">
        <v>226</v>
      </c>
      <c r="C76" s="43">
        <v>20.0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>
      <c r="A77" s="42" t="s">
        <v>227</v>
      </c>
      <c r="B77" s="43" t="s">
        <v>228</v>
      </c>
      <c r="C77" s="43">
        <v>46.0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>
      <c r="A78" s="42" t="s">
        <v>229</v>
      </c>
      <c r="B78" s="43" t="s">
        <v>230</v>
      </c>
      <c r="C78" s="43">
        <v>53.0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>
      <c r="A79" s="42" t="s">
        <v>231</v>
      </c>
      <c r="B79" s="43" t="s">
        <v>232</v>
      </c>
      <c r="C79" s="43">
        <v>107.0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>
      <c r="A80" s="42" t="s">
        <v>233</v>
      </c>
      <c r="B80" s="43" t="s">
        <v>234</v>
      </c>
      <c r="C80" s="43">
        <v>107.0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>
      <c r="A81" s="42" t="s">
        <v>235</v>
      </c>
      <c r="B81" s="43" t="s">
        <v>236</v>
      </c>
      <c r="C81" s="43">
        <v>46.0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>
      <c r="A82" s="42" t="s">
        <v>237</v>
      </c>
      <c r="B82" s="43" t="s">
        <v>238</v>
      </c>
      <c r="C82" s="43">
        <v>58.0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>
      <c r="A83" s="42" t="s">
        <v>239</v>
      </c>
      <c r="B83" s="43" t="s">
        <v>240</v>
      </c>
      <c r="C83" s="43">
        <v>80.0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>
      <c r="A84" s="42" t="s">
        <v>241</v>
      </c>
      <c r="B84" s="43" t="s">
        <v>242</v>
      </c>
      <c r="C84" s="43">
        <v>32.0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>
      <c r="A85" s="42" t="s">
        <v>243</v>
      </c>
      <c r="B85" s="43" t="s">
        <v>244</v>
      </c>
      <c r="C85" s="43">
        <v>19.0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>
      <c r="A86" s="42" t="s">
        <v>245</v>
      </c>
      <c r="B86" s="43" t="s">
        <v>246</v>
      </c>
      <c r="C86" s="43">
        <v>40.0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>
      <c r="A87" s="42" t="s">
        <v>247</v>
      </c>
      <c r="B87" s="43" t="s">
        <v>248</v>
      </c>
      <c r="C87" s="43">
        <v>21.0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>
      <c r="A88" s="42" t="s">
        <v>249</v>
      </c>
      <c r="B88" s="43" t="s">
        <v>250</v>
      </c>
      <c r="C88" s="43">
        <v>40.0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>
      <c r="A89" s="42" t="s">
        <v>251</v>
      </c>
      <c r="B89" s="43" t="s">
        <v>252</v>
      </c>
      <c r="C89" s="43">
        <v>107.0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42" t="s">
        <v>253</v>
      </c>
      <c r="B90" s="43" t="s">
        <v>254</v>
      </c>
      <c r="C90" s="43">
        <v>19.0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>
      <c r="A91" s="42" t="s">
        <v>255</v>
      </c>
      <c r="B91" s="43" t="s">
        <v>256</v>
      </c>
      <c r="C91" s="43">
        <v>107.0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>
      <c r="A92" s="42" t="s">
        <v>257</v>
      </c>
      <c r="B92" s="44" t="s">
        <v>258</v>
      </c>
      <c r="C92" s="44">
        <v>107.0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42" t="s">
        <v>259</v>
      </c>
      <c r="B93" s="44" t="s">
        <v>260</v>
      </c>
      <c r="C93" s="44">
        <v>91.0</v>
      </c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>
      <c r="A94" s="42" t="s">
        <v>261</v>
      </c>
      <c r="B94" s="44" t="s">
        <v>262</v>
      </c>
      <c r="C94" s="44">
        <v>20.0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42" t="s">
        <v>263</v>
      </c>
      <c r="B95" s="44" t="s">
        <v>264</v>
      </c>
      <c r="C95" s="44">
        <v>36.0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>
      <c r="A96" s="42" t="s">
        <v>265</v>
      </c>
      <c r="B96" s="44" t="s">
        <v>266</v>
      </c>
      <c r="C96" s="44">
        <v>36.0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>
      <c r="A97" s="42" t="s">
        <v>267</v>
      </c>
      <c r="B97" s="44" t="s">
        <v>268</v>
      </c>
      <c r="C97" s="44">
        <v>36.0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>
      <c r="A98" s="42" t="s">
        <v>269</v>
      </c>
      <c r="B98" s="44" t="s">
        <v>270</v>
      </c>
      <c r="C98" s="44">
        <v>36.0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3.5" customHeight="1">
      <c r="A99" s="42" t="s">
        <v>271</v>
      </c>
      <c r="B99" s="44" t="s">
        <v>272</v>
      </c>
      <c r="C99" s="44">
        <v>71.0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3.5" customHeight="1">
      <c r="A100" s="42" t="s">
        <v>273</v>
      </c>
      <c r="B100" s="44" t="s">
        <v>274</v>
      </c>
      <c r="C100" s="44">
        <v>80.0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3.5" customHeight="1">
      <c r="A101" s="42" t="s">
        <v>275</v>
      </c>
      <c r="B101" s="44" t="s">
        <v>276</v>
      </c>
      <c r="C101" s="44">
        <v>64.0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3.5" customHeight="1">
      <c r="A102" s="42" t="s">
        <v>277</v>
      </c>
      <c r="B102" s="44" t="s">
        <v>278</v>
      </c>
      <c r="C102" s="44">
        <v>64.0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3.5" customHeight="1">
      <c r="A103" s="42" t="s">
        <v>279</v>
      </c>
      <c r="B103" s="44" t="s">
        <v>280</v>
      </c>
      <c r="C103" s="44">
        <v>80.0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3.5" customHeight="1">
      <c r="A104" s="42" t="s">
        <v>281</v>
      </c>
      <c r="B104" s="44" t="s">
        <v>282</v>
      </c>
      <c r="C104" s="44">
        <v>64.0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3.5" customHeight="1">
      <c r="A105" s="42" t="s">
        <v>283</v>
      </c>
      <c r="B105" s="44" t="s">
        <v>284</v>
      </c>
      <c r="C105" s="44">
        <v>107.0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3.5" customHeight="1">
      <c r="A106" s="42" t="s">
        <v>285</v>
      </c>
      <c r="B106" s="44" t="s">
        <v>286</v>
      </c>
      <c r="C106" s="44">
        <v>19.0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3.5" customHeight="1">
      <c r="A107" s="42" t="s">
        <v>287</v>
      </c>
      <c r="B107" s="44" t="s">
        <v>288</v>
      </c>
      <c r="C107" s="44">
        <v>15.0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3.5" customHeight="1">
      <c r="A108" s="42" t="s">
        <v>289</v>
      </c>
      <c r="B108" s="44" t="s">
        <v>290</v>
      </c>
      <c r="C108" s="44">
        <v>160.0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3.5" customHeight="1">
      <c r="A109" s="42" t="s">
        <v>291</v>
      </c>
      <c r="B109" s="44" t="s">
        <v>292</v>
      </c>
      <c r="C109" s="44">
        <v>20.0</v>
      </c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3.5" customHeight="1">
      <c r="A110" s="42" t="s">
        <v>293</v>
      </c>
      <c r="B110" s="44" t="s">
        <v>294</v>
      </c>
      <c r="C110" s="44">
        <v>49.0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3.5" customHeight="1">
      <c r="A111" s="42" t="s">
        <v>295</v>
      </c>
      <c r="B111" s="44" t="s">
        <v>296</v>
      </c>
      <c r="C111" s="44">
        <v>53.0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3.5" customHeight="1">
      <c r="A112" s="42" t="s">
        <v>297</v>
      </c>
      <c r="B112" s="44" t="s">
        <v>298</v>
      </c>
      <c r="C112" s="44">
        <v>46.0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3.5" customHeight="1">
      <c r="A113" s="42" t="s">
        <v>299</v>
      </c>
      <c r="B113" s="44" t="s">
        <v>300</v>
      </c>
      <c r="C113" s="44">
        <v>13.0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3.5" customHeight="1">
      <c r="A114" s="42" t="s">
        <v>301</v>
      </c>
      <c r="B114" s="44" t="s">
        <v>302</v>
      </c>
      <c r="C114" s="44">
        <v>49.0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3.5" customHeight="1">
      <c r="A115" s="42" t="s">
        <v>303</v>
      </c>
      <c r="B115" s="44" t="s">
        <v>304</v>
      </c>
      <c r="C115" s="44">
        <v>19.0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3.5" customHeight="1">
      <c r="A116" s="42" t="s">
        <v>305</v>
      </c>
      <c r="B116" s="44" t="s">
        <v>306</v>
      </c>
      <c r="C116" s="44">
        <v>40.0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3.5" customHeight="1">
      <c r="A117" s="42" t="s">
        <v>307</v>
      </c>
      <c r="B117" s="44" t="s">
        <v>308</v>
      </c>
      <c r="C117" s="44">
        <v>40.0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3.5" customHeight="1">
      <c r="A118" s="42" t="s">
        <v>309</v>
      </c>
      <c r="B118" s="44" t="s">
        <v>310</v>
      </c>
      <c r="C118" s="44">
        <v>20.0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3.5" customHeight="1">
      <c r="A119" s="42" t="s">
        <v>311</v>
      </c>
      <c r="B119" s="44" t="s">
        <v>312</v>
      </c>
      <c r="C119" s="44">
        <v>40.0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3.5" customHeight="1">
      <c r="A120" s="42" t="s">
        <v>313</v>
      </c>
      <c r="B120" s="44" t="s">
        <v>314</v>
      </c>
      <c r="C120" s="44">
        <v>36.0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3.5" customHeight="1">
      <c r="A121" s="42" t="s">
        <v>315</v>
      </c>
      <c r="B121" s="44" t="s">
        <v>316</v>
      </c>
      <c r="C121" s="44">
        <v>213.0</v>
      </c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3.5" customHeight="1">
      <c r="A122" s="42" t="s">
        <v>317</v>
      </c>
      <c r="B122" s="44" t="s">
        <v>318</v>
      </c>
      <c r="C122" s="44">
        <v>40.0</v>
      </c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3.5" customHeight="1">
      <c r="A123" s="42" t="s">
        <v>319</v>
      </c>
      <c r="B123" s="44" t="s">
        <v>320</v>
      </c>
      <c r="C123" s="44">
        <v>36.0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3.5" customHeight="1">
      <c r="A124" s="42" t="s">
        <v>321</v>
      </c>
      <c r="B124" s="44" t="s">
        <v>322</v>
      </c>
      <c r="C124" s="44">
        <v>29.0</v>
      </c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3.5" customHeight="1">
      <c r="A125" s="42" t="s">
        <v>323</v>
      </c>
      <c r="B125" s="44" t="s">
        <v>324</v>
      </c>
      <c r="C125" s="44">
        <v>40.0</v>
      </c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3.5" customHeight="1">
      <c r="A126" s="42" t="s">
        <v>325</v>
      </c>
      <c r="B126" s="44" t="s">
        <v>326</v>
      </c>
      <c r="C126" s="44">
        <v>19.0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3.5" customHeight="1">
      <c r="A127" s="42" t="s">
        <v>327</v>
      </c>
      <c r="B127" s="44" t="s">
        <v>328</v>
      </c>
      <c r="C127" s="44">
        <v>128.0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3.5" customHeight="1">
      <c r="A128" s="42" t="s">
        <v>329</v>
      </c>
      <c r="B128" s="44" t="s">
        <v>330</v>
      </c>
      <c r="C128" s="44">
        <v>160.0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3.5" customHeight="1">
      <c r="A129" s="42" t="s">
        <v>331</v>
      </c>
      <c r="B129" s="44" t="s">
        <v>332</v>
      </c>
      <c r="C129" s="44">
        <v>46.0</v>
      </c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3.5" customHeight="1">
      <c r="A130" s="42" t="s">
        <v>333</v>
      </c>
      <c r="B130" s="44" t="s">
        <v>334</v>
      </c>
      <c r="C130" s="44">
        <v>46.0</v>
      </c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3.5" customHeight="1">
      <c r="A131" s="42" t="s">
        <v>335</v>
      </c>
      <c r="B131" s="44" t="s">
        <v>336</v>
      </c>
      <c r="C131" s="44">
        <v>71.0</v>
      </c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3.5" customHeight="1">
      <c r="A132" s="42" t="s">
        <v>337</v>
      </c>
      <c r="B132" s="44" t="s">
        <v>338</v>
      </c>
      <c r="C132" s="44">
        <v>46.0</v>
      </c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3.5" customHeight="1">
      <c r="A133" s="42" t="s">
        <v>339</v>
      </c>
      <c r="B133" s="44" t="s">
        <v>340</v>
      </c>
      <c r="C133" s="44">
        <v>29.0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3.5" customHeight="1">
      <c r="A134" s="42" t="s">
        <v>341</v>
      </c>
      <c r="B134" s="44" t="s">
        <v>342</v>
      </c>
      <c r="C134" s="44">
        <v>49.0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3.5" customHeight="1">
      <c r="A135" s="42" t="s">
        <v>343</v>
      </c>
      <c r="B135" s="44" t="s">
        <v>344</v>
      </c>
      <c r="C135" s="44">
        <v>13.0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3.5" customHeight="1">
      <c r="A136" s="42" t="s">
        <v>345</v>
      </c>
      <c r="B136" s="44" t="s">
        <v>346</v>
      </c>
      <c r="C136" s="44">
        <v>49.0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3.5" customHeight="1">
      <c r="A137" s="42" t="s">
        <v>347</v>
      </c>
      <c r="B137" s="44" t="s">
        <v>348</v>
      </c>
      <c r="C137" s="44">
        <v>53.0</v>
      </c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3.5" customHeight="1">
      <c r="A138" s="42" t="s">
        <v>349</v>
      </c>
      <c r="B138" s="44" t="s">
        <v>350</v>
      </c>
      <c r="C138" s="44">
        <v>12.0</v>
      </c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3.5" customHeight="1">
      <c r="A139" s="42" t="s">
        <v>351</v>
      </c>
      <c r="B139" s="44" t="s">
        <v>352</v>
      </c>
      <c r="C139" s="44">
        <v>21.0</v>
      </c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3.5" customHeight="1">
      <c r="A140" s="42" t="s">
        <v>353</v>
      </c>
      <c r="B140" s="44" t="s">
        <v>354</v>
      </c>
      <c r="C140" s="44">
        <v>46.0</v>
      </c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3.5" customHeight="1">
      <c r="A141" s="42" t="s">
        <v>355</v>
      </c>
      <c r="B141" s="44" t="s">
        <v>356</v>
      </c>
      <c r="C141" s="44">
        <v>53.0</v>
      </c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3.5" customHeight="1">
      <c r="A142" s="42" t="s">
        <v>357</v>
      </c>
      <c r="B142" s="44" t="s">
        <v>358</v>
      </c>
      <c r="C142" s="44">
        <v>29.0</v>
      </c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3.5" customHeight="1">
      <c r="A143" s="42" t="s">
        <v>359</v>
      </c>
      <c r="B143" s="44" t="s">
        <v>360</v>
      </c>
      <c r="C143" s="44">
        <v>20.0</v>
      </c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3.5" customHeight="1">
      <c r="A144" s="42" t="s">
        <v>361</v>
      </c>
      <c r="B144" s="44" t="s">
        <v>362</v>
      </c>
      <c r="C144" s="44">
        <v>40.0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3.5" customHeight="1">
      <c r="A145" s="42" t="s">
        <v>363</v>
      </c>
      <c r="B145" s="44" t="s">
        <v>364</v>
      </c>
      <c r="C145" s="44">
        <v>40.0</v>
      </c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3.5" customHeight="1">
      <c r="A146" s="42" t="s">
        <v>365</v>
      </c>
      <c r="B146" s="44" t="s">
        <v>366</v>
      </c>
      <c r="C146" s="44">
        <v>49.0</v>
      </c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3.5" customHeight="1">
      <c r="A147" s="42" t="s">
        <v>367</v>
      </c>
      <c r="B147" s="44" t="s">
        <v>368</v>
      </c>
      <c r="C147" s="44">
        <v>71.0</v>
      </c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3.5" customHeight="1">
      <c r="A148" s="42" t="s">
        <v>369</v>
      </c>
      <c r="B148" s="44" t="s">
        <v>370</v>
      </c>
      <c r="C148" s="44">
        <v>107.0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3.5" customHeight="1">
      <c r="A149" s="42" t="s">
        <v>371</v>
      </c>
      <c r="B149" s="44" t="s">
        <v>372</v>
      </c>
      <c r="C149" s="44">
        <v>6.0</v>
      </c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3.5" customHeight="1">
      <c r="A150" s="42" t="s">
        <v>373</v>
      </c>
      <c r="B150" s="44" t="s">
        <v>374</v>
      </c>
      <c r="C150" s="44">
        <v>6.0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3.5" customHeight="1">
      <c r="A151" s="42" t="s">
        <v>375</v>
      </c>
      <c r="B151" s="44" t="s">
        <v>376</v>
      </c>
      <c r="C151" s="44">
        <v>6.0</v>
      </c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3.5" customHeight="1">
      <c r="A152" s="42" t="s">
        <v>377</v>
      </c>
      <c r="B152" s="44" t="s">
        <v>378</v>
      </c>
      <c r="C152" s="44">
        <v>36.0</v>
      </c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3.5" customHeight="1">
      <c r="A153" s="42" t="s">
        <v>379</v>
      </c>
      <c r="B153" s="44" t="s">
        <v>380</v>
      </c>
      <c r="C153" s="44">
        <v>49.0</v>
      </c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3.5" customHeight="1">
      <c r="A154" s="42" t="s">
        <v>381</v>
      </c>
      <c r="B154" s="44" t="s">
        <v>382</v>
      </c>
      <c r="C154" s="44">
        <v>56.0</v>
      </c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3.5" customHeight="1">
      <c r="A155" s="42" t="s">
        <v>383</v>
      </c>
      <c r="B155" s="44" t="s">
        <v>384</v>
      </c>
      <c r="C155" s="44">
        <v>36.0</v>
      </c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3.5" customHeight="1">
      <c r="A156" s="42" t="s">
        <v>385</v>
      </c>
      <c r="B156" s="44" t="s">
        <v>386</v>
      </c>
      <c r="C156" s="44">
        <v>20.0</v>
      </c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3.5" customHeight="1">
      <c r="A157" s="42" t="s">
        <v>387</v>
      </c>
      <c r="B157" s="44" t="s">
        <v>388</v>
      </c>
      <c r="C157" s="44">
        <v>29.0</v>
      </c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3.5" customHeight="1">
      <c r="A158" s="42" t="s">
        <v>389</v>
      </c>
      <c r="B158" s="44" t="s">
        <v>390</v>
      </c>
      <c r="C158" s="44">
        <v>36.0</v>
      </c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3.5" customHeight="1">
      <c r="A159" s="42" t="s">
        <v>391</v>
      </c>
      <c r="B159" s="44" t="s">
        <v>392</v>
      </c>
      <c r="C159" s="44">
        <v>36.0</v>
      </c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3.5" customHeight="1">
      <c r="A160" s="42" t="s">
        <v>393</v>
      </c>
      <c r="B160" s="44" t="s">
        <v>394</v>
      </c>
      <c r="C160" s="44">
        <v>29.0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3.5" customHeight="1">
      <c r="A161" s="42" t="s">
        <v>395</v>
      </c>
      <c r="B161" s="44" t="s">
        <v>396</v>
      </c>
      <c r="C161" s="44">
        <v>46.0</v>
      </c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3.5" customHeight="1">
      <c r="A162" s="42" t="s">
        <v>397</v>
      </c>
      <c r="B162" s="44" t="s">
        <v>398</v>
      </c>
      <c r="C162" s="44">
        <v>29.0</v>
      </c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3.5" customHeight="1">
      <c r="A163" s="42" t="s">
        <v>399</v>
      </c>
      <c r="B163" s="44" t="s">
        <v>400</v>
      </c>
      <c r="C163" s="44">
        <v>40.0</v>
      </c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3.5" customHeight="1">
      <c r="A164" s="42" t="s">
        <v>401</v>
      </c>
      <c r="B164" s="44" t="s">
        <v>402</v>
      </c>
      <c r="C164" s="44">
        <v>53.0</v>
      </c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3.5" customHeight="1">
      <c r="A165" s="42" t="s">
        <v>403</v>
      </c>
      <c r="B165" s="44" t="s">
        <v>404</v>
      </c>
      <c r="C165" s="44">
        <v>18.0</v>
      </c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3.5" customHeight="1">
      <c r="A166" s="42" t="s">
        <v>405</v>
      </c>
      <c r="B166" s="44" t="s">
        <v>406</v>
      </c>
      <c r="C166" s="44">
        <v>64.0</v>
      </c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3.5" customHeight="1">
      <c r="A167" s="42" t="s">
        <v>407</v>
      </c>
      <c r="B167" s="44" t="s">
        <v>408</v>
      </c>
      <c r="C167" s="44">
        <v>128.0</v>
      </c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3.5" customHeight="1">
      <c r="A168" s="42" t="s">
        <v>409</v>
      </c>
      <c r="B168" s="44" t="s">
        <v>410</v>
      </c>
      <c r="C168" s="44">
        <v>107.0</v>
      </c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3.5" customHeight="1">
      <c r="A169" s="42" t="s">
        <v>411</v>
      </c>
      <c r="B169" s="44" t="s">
        <v>412</v>
      </c>
      <c r="C169" s="44">
        <v>80.0</v>
      </c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3.5" customHeight="1">
      <c r="A170" s="42" t="s">
        <v>413</v>
      </c>
      <c r="B170" s="44" t="s">
        <v>414</v>
      </c>
      <c r="C170" s="44">
        <v>71.0</v>
      </c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3.5" customHeight="1">
      <c r="A171" s="42" t="s">
        <v>415</v>
      </c>
      <c r="B171" s="44" t="s">
        <v>416</v>
      </c>
      <c r="C171" s="44">
        <v>107.0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3.5" customHeight="1">
      <c r="A172" s="42" t="s">
        <v>417</v>
      </c>
      <c r="B172" s="44" t="s">
        <v>418</v>
      </c>
      <c r="C172" s="44">
        <v>128.0</v>
      </c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3.5" customHeight="1">
      <c r="A173" s="42" t="s">
        <v>419</v>
      </c>
      <c r="B173" s="44" t="s">
        <v>420</v>
      </c>
      <c r="C173" s="44">
        <v>29.0</v>
      </c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3.5" customHeight="1">
      <c r="A174" s="42" t="s">
        <v>421</v>
      </c>
      <c r="B174" s="44" t="s">
        <v>422</v>
      </c>
      <c r="C174" s="44">
        <v>40.0</v>
      </c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3.5" customHeight="1">
      <c r="A175" s="42" t="s">
        <v>423</v>
      </c>
      <c r="B175" s="44" t="s">
        <v>424</v>
      </c>
      <c r="C175" s="44">
        <v>34.0</v>
      </c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3.5" customHeight="1">
      <c r="A176" s="42" t="s">
        <v>425</v>
      </c>
      <c r="B176" s="44" t="s">
        <v>426</v>
      </c>
      <c r="C176" s="44">
        <v>6.0</v>
      </c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3.5" customHeight="1">
      <c r="A177" s="42" t="s">
        <v>427</v>
      </c>
      <c r="B177" s="44" t="s">
        <v>428</v>
      </c>
      <c r="C177" s="44">
        <v>49.0</v>
      </c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3.5" customHeight="1">
      <c r="A178" s="42" t="s">
        <v>429</v>
      </c>
      <c r="B178" s="44" t="s">
        <v>430</v>
      </c>
      <c r="C178" s="44">
        <v>16.0</v>
      </c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3.5" customHeight="1">
      <c r="A179" s="42" t="s">
        <v>431</v>
      </c>
      <c r="B179" s="44" t="s">
        <v>432</v>
      </c>
      <c r="C179" s="44">
        <v>27.0</v>
      </c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3.5" customHeight="1">
      <c r="A180" s="42" t="s">
        <v>433</v>
      </c>
      <c r="B180" s="44" t="s">
        <v>434</v>
      </c>
      <c r="C180" s="44">
        <v>13.0</v>
      </c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3.5" customHeight="1">
      <c r="A181" s="42" t="s">
        <v>435</v>
      </c>
      <c r="B181" s="44" t="s">
        <v>436</v>
      </c>
      <c r="C181" s="44">
        <v>15.0</v>
      </c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3.5" customHeight="1">
      <c r="A182" s="42" t="s">
        <v>437</v>
      </c>
      <c r="B182" s="44" t="s">
        <v>438</v>
      </c>
      <c r="C182" s="44">
        <v>19.0</v>
      </c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3.5" customHeight="1">
      <c r="A183" s="42" t="s">
        <v>439</v>
      </c>
      <c r="B183" s="44" t="s">
        <v>440</v>
      </c>
      <c r="C183" s="44">
        <v>16.0</v>
      </c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3.5" customHeight="1">
      <c r="A184" s="42" t="s">
        <v>441</v>
      </c>
      <c r="B184" s="44" t="s">
        <v>442</v>
      </c>
      <c r="C184" s="44">
        <v>34.0</v>
      </c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3.5" customHeight="1">
      <c r="A185" s="42" t="s">
        <v>443</v>
      </c>
      <c r="B185" s="44" t="s">
        <v>444</v>
      </c>
      <c r="C185" s="44">
        <v>46.0</v>
      </c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3.5" customHeight="1">
      <c r="A186" s="42" t="s">
        <v>445</v>
      </c>
      <c r="B186" s="44" t="s">
        <v>446</v>
      </c>
      <c r="C186" s="44">
        <v>64.0</v>
      </c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3.5" customHeight="1">
      <c r="A187" s="42" t="s">
        <v>447</v>
      </c>
      <c r="B187" s="44" t="s">
        <v>448</v>
      </c>
      <c r="C187" s="44">
        <v>46.0</v>
      </c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3.5" customHeight="1">
      <c r="A188" s="42" t="s">
        <v>449</v>
      </c>
      <c r="B188" s="44" t="s">
        <v>450</v>
      </c>
      <c r="C188" s="44">
        <v>28.0</v>
      </c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3.5" customHeight="1">
      <c r="A189" s="42" t="s">
        <v>451</v>
      </c>
      <c r="B189" s="44" t="s">
        <v>452</v>
      </c>
      <c r="C189" s="44">
        <v>49.0</v>
      </c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3.5" customHeight="1">
      <c r="A190" s="42" t="s">
        <v>453</v>
      </c>
      <c r="B190" s="44" t="s">
        <v>454</v>
      </c>
      <c r="C190" s="44">
        <v>98.0</v>
      </c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3.5" customHeight="1">
      <c r="A191" s="42" t="s">
        <v>455</v>
      </c>
      <c r="B191" s="44" t="s">
        <v>456</v>
      </c>
      <c r="C191" s="44">
        <v>38.0</v>
      </c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3.5" customHeight="1">
      <c r="A192" s="42" t="s">
        <v>457</v>
      </c>
      <c r="B192" s="44" t="s">
        <v>458</v>
      </c>
      <c r="C192" s="44">
        <v>128.0</v>
      </c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3.5" customHeight="1">
      <c r="A193" s="42" t="s">
        <v>459</v>
      </c>
      <c r="B193" s="44" t="s">
        <v>460</v>
      </c>
      <c r="C193" s="44">
        <v>58.0</v>
      </c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3.5" customHeight="1">
      <c r="A194" s="42" t="s">
        <v>461</v>
      </c>
      <c r="B194" s="44" t="s">
        <v>462</v>
      </c>
      <c r="C194" s="44">
        <v>128.0</v>
      </c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3.5" customHeight="1">
      <c r="A195" s="42" t="s">
        <v>463</v>
      </c>
      <c r="B195" s="44" t="s">
        <v>464</v>
      </c>
      <c r="C195" s="44">
        <v>16.0</v>
      </c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3.5" customHeight="1">
      <c r="A196" s="42" t="s">
        <v>465</v>
      </c>
      <c r="B196" s="44" t="s">
        <v>466</v>
      </c>
      <c r="C196" s="44">
        <v>15.0</v>
      </c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3.5" customHeight="1">
      <c r="A197" s="42" t="s">
        <v>467</v>
      </c>
      <c r="B197" s="44" t="s">
        <v>468</v>
      </c>
      <c r="C197" s="44">
        <v>16.0</v>
      </c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3.5" customHeight="1">
      <c r="A198" s="42" t="s">
        <v>469</v>
      </c>
      <c r="B198" s="44" t="s">
        <v>470</v>
      </c>
      <c r="C198" s="44">
        <v>20.0</v>
      </c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3.5" customHeight="1">
      <c r="A199" s="42" t="s">
        <v>471</v>
      </c>
      <c r="B199" s="44" t="s">
        <v>472</v>
      </c>
      <c r="C199" s="44">
        <v>18.0</v>
      </c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3.5" customHeight="1">
      <c r="A200" s="42" t="s">
        <v>473</v>
      </c>
      <c r="B200" s="44" t="s">
        <v>474</v>
      </c>
      <c r="C200" s="44">
        <v>98.0</v>
      </c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3.5" customHeight="1">
      <c r="A201" s="42" t="s">
        <v>475</v>
      </c>
      <c r="B201" s="44" t="s">
        <v>476</v>
      </c>
      <c r="C201" s="44">
        <v>40.0</v>
      </c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3.5" customHeight="1">
      <c r="A202" s="42" t="s">
        <v>477</v>
      </c>
      <c r="B202" s="44" t="s">
        <v>478</v>
      </c>
      <c r="C202" s="44">
        <v>91.0</v>
      </c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3.5" customHeight="1">
      <c r="A203" s="42" t="s">
        <v>479</v>
      </c>
      <c r="B203" s="44" t="s">
        <v>480</v>
      </c>
      <c r="C203" s="44">
        <v>107.0</v>
      </c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3.5" customHeight="1">
      <c r="A204" s="42" t="s">
        <v>481</v>
      </c>
      <c r="B204" s="44" t="s">
        <v>482</v>
      </c>
      <c r="C204" s="44">
        <v>91.0</v>
      </c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3.5" customHeight="1">
      <c r="A205" s="42" t="s">
        <v>483</v>
      </c>
      <c r="B205" s="44" t="s">
        <v>484</v>
      </c>
      <c r="C205" s="44">
        <v>71.0</v>
      </c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3.5" customHeight="1">
      <c r="A206" s="42" t="s">
        <v>485</v>
      </c>
      <c r="B206" s="44" t="s">
        <v>486</v>
      </c>
      <c r="C206" s="44">
        <v>80.0</v>
      </c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3.5" customHeight="1">
      <c r="A207" s="42" t="s">
        <v>487</v>
      </c>
      <c r="B207" s="44" t="s">
        <v>488</v>
      </c>
      <c r="C207" s="44">
        <v>40.0</v>
      </c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3.5" customHeight="1">
      <c r="A208" s="42" t="s">
        <v>489</v>
      </c>
      <c r="B208" s="44" t="s">
        <v>490</v>
      </c>
      <c r="C208" s="44">
        <v>14.0</v>
      </c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3.5" customHeight="1">
      <c r="A209" s="42" t="s">
        <v>491</v>
      </c>
      <c r="B209" s="44" t="s">
        <v>492</v>
      </c>
      <c r="C209" s="44">
        <v>14.0</v>
      </c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3.5" customHeight="1">
      <c r="A210" s="42" t="s">
        <v>493</v>
      </c>
      <c r="B210" s="44" t="s">
        <v>494</v>
      </c>
      <c r="C210" s="44">
        <v>32.0</v>
      </c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3.5" customHeight="1">
      <c r="A211" s="42" t="s">
        <v>495</v>
      </c>
      <c r="B211" s="44" t="s">
        <v>496</v>
      </c>
      <c r="C211" s="44">
        <v>40.0</v>
      </c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3.5" customHeight="1">
      <c r="A212" s="42" t="s">
        <v>497</v>
      </c>
      <c r="B212" s="44" t="s">
        <v>498</v>
      </c>
      <c r="C212" s="44">
        <v>40.0</v>
      </c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3.5" customHeight="1">
      <c r="A213" s="42" t="s">
        <v>499</v>
      </c>
      <c r="B213" s="44" t="s">
        <v>500</v>
      </c>
      <c r="C213" s="44">
        <v>40.0</v>
      </c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3.5" customHeight="1">
      <c r="A214" s="42" t="s">
        <v>501</v>
      </c>
      <c r="B214" s="44" t="s">
        <v>502</v>
      </c>
      <c r="C214" s="44">
        <v>13.0</v>
      </c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3.5" customHeight="1">
      <c r="A215" s="42" t="s">
        <v>503</v>
      </c>
      <c r="B215" s="44" t="s">
        <v>504</v>
      </c>
      <c r="C215" s="44">
        <v>49.0</v>
      </c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3.5" customHeight="1">
      <c r="A216" s="42" t="s">
        <v>505</v>
      </c>
      <c r="B216" s="44" t="s">
        <v>506</v>
      </c>
      <c r="C216" s="44">
        <v>16.0</v>
      </c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3.5" customHeight="1">
      <c r="A217" s="42" t="s">
        <v>507</v>
      </c>
      <c r="B217" s="44" t="s">
        <v>508</v>
      </c>
      <c r="C217" s="44">
        <v>53.0</v>
      </c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3.5" customHeight="1">
      <c r="A218" s="42" t="s">
        <v>509</v>
      </c>
      <c r="B218" s="44" t="s">
        <v>510</v>
      </c>
      <c r="C218" s="44">
        <v>58.0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3.5" customHeight="1">
      <c r="A219" s="42" t="s">
        <v>511</v>
      </c>
      <c r="B219" s="44" t="s">
        <v>512</v>
      </c>
      <c r="C219" s="44">
        <v>107.0</v>
      </c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3.5" customHeight="1">
      <c r="A220" s="42" t="s">
        <v>513</v>
      </c>
      <c r="B220" s="44" t="s">
        <v>514</v>
      </c>
      <c r="C220" s="44">
        <v>128.0</v>
      </c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3.5" customHeight="1">
      <c r="A221" s="42" t="s">
        <v>515</v>
      </c>
      <c r="B221" s="44" t="s">
        <v>516</v>
      </c>
      <c r="C221" s="44">
        <v>58.0</v>
      </c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3.5" customHeight="1">
      <c r="A222" s="42" t="s">
        <v>517</v>
      </c>
      <c r="B222" s="44" t="s">
        <v>518</v>
      </c>
      <c r="C222" s="44">
        <v>13.0</v>
      </c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3.5" customHeight="1">
      <c r="A223" s="42" t="s">
        <v>519</v>
      </c>
      <c r="B223" s="44" t="s">
        <v>520</v>
      </c>
      <c r="C223" s="44">
        <v>71.0</v>
      </c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3.5" customHeight="1">
      <c r="A224" s="42" t="s">
        <v>521</v>
      </c>
      <c r="B224" s="44" t="s">
        <v>522</v>
      </c>
      <c r="C224" s="44">
        <v>53.0</v>
      </c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3.5" customHeight="1">
      <c r="A225" s="42" t="s">
        <v>523</v>
      </c>
      <c r="B225" s="44" t="s">
        <v>524</v>
      </c>
      <c r="C225" s="44">
        <v>221.0</v>
      </c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3.5" customHeight="1">
      <c r="A226" s="42" t="s">
        <v>525</v>
      </c>
      <c r="B226" s="44" t="s">
        <v>526</v>
      </c>
      <c r="C226" s="44">
        <v>107.0</v>
      </c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3.5" customHeight="1">
      <c r="A227" s="42" t="s">
        <v>527</v>
      </c>
      <c r="B227" s="44" t="s">
        <v>528</v>
      </c>
      <c r="C227" s="44">
        <v>107.0</v>
      </c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3.5" customHeight="1">
      <c r="A228" s="42" t="s">
        <v>529</v>
      </c>
      <c r="B228" s="44" t="s">
        <v>530</v>
      </c>
      <c r="C228" s="44">
        <v>40.0</v>
      </c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3.5" customHeight="1">
      <c r="A229" s="42" t="s">
        <v>531</v>
      </c>
      <c r="B229" s="44" t="s">
        <v>532</v>
      </c>
      <c r="C229" s="44">
        <v>49.0</v>
      </c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3.5" customHeight="1">
      <c r="A230" s="42" t="s">
        <v>533</v>
      </c>
      <c r="B230" s="44" t="s">
        <v>534</v>
      </c>
      <c r="C230" s="44">
        <v>64.0</v>
      </c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3.5" customHeight="1">
      <c r="A231" s="42" t="s">
        <v>535</v>
      </c>
      <c r="B231" s="44" t="s">
        <v>536</v>
      </c>
      <c r="C231" s="44">
        <v>49.0</v>
      </c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3.5" customHeight="1">
      <c r="A232" s="42" t="s">
        <v>537</v>
      </c>
      <c r="B232" s="44" t="s">
        <v>538</v>
      </c>
      <c r="C232" s="44">
        <v>40.0</v>
      </c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3.5" customHeight="1">
      <c r="A233" s="42" t="s">
        <v>539</v>
      </c>
      <c r="B233" s="44" t="s">
        <v>540</v>
      </c>
      <c r="C233" s="44">
        <v>64.0</v>
      </c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3.5" customHeight="1">
      <c r="A234" s="42" t="s">
        <v>541</v>
      </c>
      <c r="B234" s="44" t="s">
        <v>542</v>
      </c>
      <c r="C234" s="44">
        <v>64.0</v>
      </c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3.5" customHeight="1">
      <c r="A235" s="42" t="s">
        <v>543</v>
      </c>
      <c r="B235" s="44" t="s">
        <v>544</v>
      </c>
      <c r="C235" s="44">
        <v>49.0</v>
      </c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3.5" customHeight="1">
      <c r="A236" s="42" t="s">
        <v>545</v>
      </c>
      <c r="B236" s="44" t="s">
        <v>546</v>
      </c>
      <c r="C236" s="44">
        <v>58.0</v>
      </c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3.5" customHeight="1">
      <c r="A237" s="42" t="s">
        <v>547</v>
      </c>
      <c r="B237" s="44" t="s">
        <v>548</v>
      </c>
      <c r="C237" s="44">
        <v>21.0</v>
      </c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3.5" customHeight="1">
      <c r="A238" s="42" t="s">
        <v>549</v>
      </c>
      <c r="B238" s="44" t="s">
        <v>550</v>
      </c>
      <c r="C238" s="44">
        <v>36.0</v>
      </c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3.5" customHeight="1">
      <c r="A239" s="42" t="s">
        <v>551</v>
      </c>
      <c r="B239" s="44" t="s">
        <v>552</v>
      </c>
      <c r="C239" s="44">
        <v>64.0</v>
      </c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3.5" customHeight="1">
      <c r="A240" s="42" t="s">
        <v>553</v>
      </c>
      <c r="B240" s="44" t="s">
        <v>554</v>
      </c>
      <c r="C240" s="44">
        <v>128.0</v>
      </c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3.5" customHeight="1">
      <c r="A241" s="42" t="s">
        <v>555</v>
      </c>
      <c r="B241" s="44" t="s">
        <v>556</v>
      </c>
      <c r="C241" s="44">
        <v>128.0</v>
      </c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3.5" customHeight="1">
      <c r="A242" s="42" t="s">
        <v>557</v>
      </c>
      <c r="B242" s="44" t="s">
        <v>558</v>
      </c>
      <c r="C242" s="44">
        <v>71.0</v>
      </c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3.5" customHeight="1">
      <c r="A243" s="42" t="s">
        <v>559</v>
      </c>
      <c r="B243" s="44" t="s">
        <v>560</v>
      </c>
      <c r="C243" s="44">
        <v>14.0</v>
      </c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3.5" customHeight="1">
      <c r="A244" s="42" t="s">
        <v>561</v>
      </c>
      <c r="B244" s="44" t="s">
        <v>562</v>
      </c>
      <c r="C244" s="44">
        <v>64.0</v>
      </c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3.5" customHeight="1">
      <c r="A245" s="42" t="s">
        <v>563</v>
      </c>
      <c r="B245" s="44" t="s">
        <v>564</v>
      </c>
      <c r="C245" s="44">
        <v>58.0</v>
      </c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3.5" customHeight="1">
      <c r="A246" s="42" t="s">
        <v>565</v>
      </c>
      <c r="B246" s="44" t="s">
        <v>566</v>
      </c>
      <c r="C246" s="44">
        <v>21.0</v>
      </c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3.5" customHeight="1">
      <c r="A247" s="42" t="s">
        <v>567</v>
      </c>
      <c r="B247" s="44" t="s">
        <v>568</v>
      </c>
      <c r="C247" s="44">
        <v>6.0</v>
      </c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3.5" customHeight="1">
      <c r="A248" s="42" t="s">
        <v>569</v>
      </c>
      <c r="B248" s="44" t="s">
        <v>570</v>
      </c>
      <c r="C248" s="44">
        <v>107.0</v>
      </c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3.5" customHeight="1">
      <c r="A249" s="42" t="s">
        <v>571</v>
      </c>
      <c r="B249" s="44" t="s">
        <v>572</v>
      </c>
      <c r="C249" s="44">
        <v>6.0</v>
      </c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3.5" customHeight="1">
      <c r="A250" s="42" t="s">
        <v>573</v>
      </c>
      <c r="B250" s="44" t="s">
        <v>574</v>
      </c>
      <c r="C250" s="44">
        <v>53.0</v>
      </c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3.5" customHeight="1">
      <c r="A251" s="42" t="s">
        <v>575</v>
      </c>
      <c r="B251" s="44" t="s">
        <v>576</v>
      </c>
      <c r="C251" s="44">
        <v>16.0</v>
      </c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3.5" customHeight="1">
      <c r="A252" s="42" t="s">
        <v>577</v>
      </c>
      <c r="B252" s="44" t="s">
        <v>578</v>
      </c>
      <c r="C252" s="44">
        <v>64.0</v>
      </c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3.5" customHeight="1">
      <c r="A253" s="42" t="s">
        <v>579</v>
      </c>
      <c r="B253" s="44" t="s">
        <v>580</v>
      </c>
      <c r="C253" s="44">
        <v>40.0</v>
      </c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3.5" customHeight="1">
      <c r="A254" s="42" t="s">
        <v>581</v>
      </c>
      <c r="B254" s="44" t="s">
        <v>582</v>
      </c>
      <c r="C254" s="44">
        <v>640.0</v>
      </c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3.5" customHeight="1">
      <c r="A255" s="42" t="s">
        <v>583</v>
      </c>
      <c r="B255" s="44" t="s">
        <v>584</v>
      </c>
      <c r="C255" s="44">
        <v>213.0</v>
      </c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3.5" customHeight="1">
      <c r="A256" s="42" t="s">
        <v>585</v>
      </c>
      <c r="B256" s="44" t="s">
        <v>586</v>
      </c>
      <c r="C256" s="44">
        <v>16.0</v>
      </c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3.5" customHeight="1">
      <c r="A257" s="42" t="s">
        <v>587</v>
      </c>
      <c r="B257" s="44" t="s">
        <v>588</v>
      </c>
      <c r="C257" s="44">
        <v>16.0</v>
      </c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3.5" customHeight="1">
      <c r="A258" s="42" t="s">
        <v>589</v>
      </c>
      <c r="B258" s="44" t="s">
        <v>590</v>
      </c>
      <c r="C258" s="44">
        <v>21.0</v>
      </c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3.5" customHeight="1">
      <c r="A259" s="42" t="s">
        <v>591</v>
      </c>
      <c r="B259" s="44" t="s">
        <v>592</v>
      </c>
      <c r="C259" s="44">
        <v>21.0</v>
      </c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3.5" customHeight="1">
      <c r="A260" s="42" t="s">
        <v>593</v>
      </c>
      <c r="B260" s="44" t="s">
        <v>594</v>
      </c>
      <c r="C260" s="44">
        <v>40.0</v>
      </c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3.5" customHeight="1">
      <c r="A261" s="42" t="s">
        <v>595</v>
      </c>
      <c r="B261" s="44" t="s">
        <v>596</v>
      </c>
      <c r="C261" s="44">
        <v>53.0</v>
      </c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3.5" customHeight="1">
      <c r="A262" s="42" t="s">
        <v>597</v>
      </c>
      <c r="B262" s="44" t="s">
        <v>598</v>
      </c>
      <c r="C262" s="44">
        <v>40.0</v>
      </c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3.5" customHeight="1">
      <c r="A263" s="42" t="s">
        <v>599</v>
      </c>
      <c r="B263" s="44" t="s">
        <v>600</v>
      </c>
      <c r="C263" s="44">
        <v>36.0</v>
      </c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3.5" customHeight="1">
      <c r="A264" s="42" t="s">
        <v>601</v>
      </c>
      <c r="B264" s="44" t="s">
        <v>602</v>
      </c>
      <c r="C264" s="44">
        <v>5.0</v>
      </c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3.5" customHeight="1">
      <c r="A265" s="42" t="s">
        <v>603</v>
      </c>
      <c r="B265" s="44" t="s">
        <v>604</v>
      </c>
      <c r="C265" s="44">
        <v>36.0</v>
      </c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3.5" customHeight="1">
      <c r="A266" s="42" t="s">
        <v>605</v>
      </c>
      <c r="B266" s="44" t="s">
        <v>606</v>
      </c>
      <c r="C266" s="44">
        <v>53.0</v>
      </c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3.5" customHeight="1">
      <c r="A267" s="42" t="s">
        <v>607</v>
      </c>
      <c r="B267" s="44" t="s">
        <v>608</v>
      </c>
      <c r="C267" s="44">
        <v>107.0</v>
      </c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3.5" customHeight="1">
      <c r="A268" s="42" t="s">
        <v>609</v>
      </c>
      <c r="B268" s="44" t="s">
        <v>610</v>
      </c>
      <c r="C268" s="44">
        <v>80.0</v>
      </c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3.5" customHeight="1">
      <c r="A269" s="42" t="s">
        <v>611</v>
      </c>
      <c r="B269" s="44" t="s">
        <v>612</v>
      </c>
      <c r="C269" s="44">
        <v>64.0</v>
      </c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3.5" customHeight="1">
      <c r="A270" s="42" t="s">
        <v>613</v>
      </c>
      <c r="B270" s="44" t="s">
        <v>614</v>
      </c>
      <c r="C270" s="44">
        <v>128.0</v>
      </c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3.5" customHeight="1">
      <c r="A271" s="42" t="s">
        <v>615</v>
      </c>
      <c r="B271" s="44" t="s">
        <v>616</v>
      </c>
      <c r="C271" s="44">
        <v>20.0</v>
      </c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3.5" customHeight="1">
      <c r="A272" s="42" t="s">
        <v>617</v>
      </c>
      <c r="B272" s="44" t="s">
        <v>618</v>
      </c>
      <c r="C272" s="44">
        <v>40.0</v>
      </c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3.5" customHeight="1">
      <c r="A273" s="42" t="s">
        <v>619</v>
      </c>
      <c r="B273" s="44" t="s">
        <v>620</v>
      </c>
      <c r="C273" s="44">
        <v>38.0</v>
      </c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3.5" customHeight="1">
      <c r="A274" s="42" t="s">
        <v>621</v>
      </c>
      <c r="B274" s="44" t="s">
        <v>622</v>
      </c>
      <c r="C274" s="44">
        <v>80.0</v>
      </c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3.5" customHeight="1">
      <c r="A275" s="42" t="s">
        <v>623</v>
      </c>
      <c r="B275" s="44" t="s">
        <v>624</v>
      </c>
      <c r="C275" s="44">
        <v>6.0</v>
      </c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3.5" customHeight="1">
      <c r="A276" s="42" t="s">
        <v>625</v>
      </c>
      <c r="B276" s="44" t="s">
        <v>626</v>
      </c>
      <c r="C276" s="44">
        <v>53.0</v>
      </c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3.5" customHeight="1">
      <c r="A277" s="42" t="s">
        <v>627</v>
      </c>
      <c r="B277" s="44" t="s">
        <v>628</v>
      </c>
      <c r="C277" s="44">
        <v>91.0</v>
      </c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3.5" customHeight="1">
      <c r="A278" s="42" t="s">
        <v>629</v>
      </c>
      <c r="B278" s="44" t="s">
        <v>630</v>
      </c>
      <c r="C278" s="44">
        <v>64.0</v>
      </c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3.5" customHeight="1">
      <c r="A279" s="42" t="s">
        <v>631</v>
      </c>
      <c r="B279" s="44" t="s">
        <v>632</v>
      </c>
      <c r="C279" s="44">
        <v>64.0</v>
      </c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3.5" customHeight="1">
      <c r="A280" s="42" t="s">
        <v>633</v>
      </c>
      <c r="B280" s="44" t="s">
        <v>634</v>
      </c>
      <c r="C280" s="44">
        <v>19.0</v>
      </c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3.5" customHeight="1">
      <c r="A281" s="42" t="s">
        <v>635</v>
      </c>
      <c r="B281" s="44" t="s">
        <v>636</v>
      </c>
      <c r="C281" s="44">
        <v>71.0</v>
      </c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3.5" customHeight="1">
      <c r="A282" s="42" t="s">
        <v>637</v>
      </c>
      <c r="B282" s="44" t="s">
        <v>638</v>
      </c>
      <c r="C282" s="44">
        <v>53.0</v>
      </c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3.5" customHeight="1">
      <c r="A283" s="42" t="s">
        <v>639</v>
      </c>
      <c r="B283" s="44" t="s">
        <v>640</v>
      </c>
      <c r="C283" s="44">
        <v>46.0</v>
      </c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3.5" customHeight="1">
      <c r="A284" s="42" t="s">
        <v>641</v>
      </c>
      <c r="B284" s="44" t="s">
        <v>642</v>
      </c>
      <c r="C284" s="44">
        <v>25.0</v>
      </c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3.5" customHeight="1">
      <c r="A285" s="42" t="s">
        <v>643</v>
      </c>
      <c r="B285" s="44" t="s">
        <v>644</v>
      </c>
      <c r="C285" s="44">
        <v>3200.0</v>
      </c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3.5" customHeight="1">
      <c r="A286" s="42" t="s">
        <v>645</v>
      </c>
      <c r="B286" s="44" t="s">
        <v>646</v>
      </c>
      <c r="C286" s="44">
        <v>19.0</v>
      </c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3.5" customHeight="1">
      <c r="A287" s="42" t="s">
        <v>647</v>
      </c>
      <c r="B287" s="44" t="s">
        <v>648</v>
      </c>
      <c r="C287" s="44">
        <v>49.0</v>
      </c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3.5" customHeight="1">
      <c r="A288" s="42" t="s">
        <v>649</v>
      </c>
      <c r="B288" s="44" t="s">
        <v>650</v>
      </c>
      <c r="C288" s="44">
        <v>49.0</v>
      </c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3.5" customHeight="1">
      <c r="A289" s="42" t="s">
        <v>651</v>
      </c>
      <c r="B289" s="44" t="s">
        <v>652</v>
      </c>
      <c r="C289" s="44">
        <v>40.0</v>
      </c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3.5" customHeight="1">
      <c r="A290" s="42" t="s">
        <v>653</v>
      </c>
      <c r="B290" s="44" t="s">
        <v>654</v>
      </c>
      <c r="C290" s="44">
        <v>36.0</v>
      </c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3.5" customHeight="1">
      <c r="A291" s="42" t="s">
        <v>655</v>
      </c>
      <c r="B291" s="44" t="s">
        <v>656</v>
      </c>
      <c r="C291" s="44">
        <v>36.0</v>
      </c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3.5" customHeight="1">
      <c r="A292" s="42" t="s">
        <v>657</v>
      </c>
      <c r="B292" s="44" t="s">
        <v>658</v>
      </c>
      <c r="C292" s="44">
        <v>53.0</v>
      </c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3.5" customHeight="1">
      <c r="A293" s="42" t="s">
        <v>659</v>
      </c>
      <c r="B293" s="44" t="s">
        <v>660</v>
      </c>
      <c r="C293" s="44">
        <v>29.0</v>
      </c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3.5" customHeight="1">
      <c r="A294" s="42" t="s">
        <v>661</v>
      </c>
      <c r="B294" s="44" t="s">
        <v>662</v>
      </c>
      <c r="C294" s="44">
        <v>64.0</v>
      </c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3.5" customHeight="1">
      <c r="A295" s="42" t="s">
        <v>663</v>
      </c>
      <c r="B295" s="44" t="s">
        <v>664</v>
      </c>
      <c r="C295" s="44">
        <v>29.0</v>
      </c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3.5" customHeight="1">
      <c r="A296" s="42" t="s">
        <v>665</v>
      </c>
      <c r="B296" s="44" t="s">
        <v>666</v>
      </c>
      <c r="C296" s="44">
        <v>29.0</v>
      </c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3.5" customHeight="1">
      <c r="A297" s="42" t="s">
        <v>667</v>
      </c>
      <c r="B297" s="44" t="s">
        <v>668</v>
      </c>
      <c r="C297" s="44">
        <v>29.0</v>
      </c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3.5" customHeight="1">
      <c r="A298" s="42" t="s">
        <v>669</v>
      </c>
      <c r="B298" s="44" t="s">
        <v>670</v>
      </c>
      <c r="C298" s="44">
        <v>16.0</v>
      </c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3.5" customHeight="1">
      <c r="A299" s="42" t="s">
        <v>671</v>
      </c>
      <c r="B299" s="44" t="s">
        <v>672</v>
      </c>
      <c r="C299" s="44">
        <v>27.0</v>
      </c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3.5" customHeight="1">
      <c r="A300" s="42" t="s">
        <v>673</v>
      </c>
      <c r="B300" s="44" t="s">
        <v>674</v>
      </c>
      <c r="C300" s="44">
        <v>25.0</v>
      </c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3.5" customHeight="1">
      <c r="A301" s="42" t="s">
        <v>675</v>
      </c>
      <c r="B301" s="44" t="s">
        <v>676</v>
      </c>
      <c r="C301" s="44">
        <v>80.0</v>
      </c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3.5" customHeight="1">
      <c r="A302" s="42" t="s">
        <v>677</v>
      </c>
      <c r="B302" s="44" t="s">
        <v>678</v>
      </c>
      <c r="C302" s="44">
        <v>40.0</v>
      </c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3.5" customHeight="1">
      <c r="A303" s="42" t="s">
        <v>679</v>
      </c>
      <c r="B303" s="44" t="s">
        <v>680</v>
      </c>
      <c r="C303" s="44">
        <v>29.0</v>
      </c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3.5" customHeight="1">
      <c r="A304" s="42" t="s">
        <v>681</v>
      </c>
      <c r="B304" s="44" t="s">
        <v>682</v>
      </c>
      <c r="C304" s="44">
        <v>46.0</v>
      </c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3.5" customHeight="1">
      <c r="A305" s="42" t="s">
        <v>683</v>
      </c>
      <c r="B305" s="44" t="s">
        <v>684</v>
      </c>
      <c r="C305" s="44">
        <v>58.0</v>
      </c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3.5" customHeight="1">
      <c r="A306" s="42" t="s">
        <v>685</v>
      </c>
      <c r="B306" s="44" t="s">
        <v>686</v>
      </c>
      <c r="C306" s="44">
        <v>40.0</v>
      </c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3.5" customHeight="1">
      <c r="A307" s="42" t="s">
        <v>687</v>
      </c>
      <c r="B307" s="44" t="s">
        <v>688</v>
      </c>
      <c r="C307" s="44">
        <v>23.0</v>
      </c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3.5" customHeight="1">
      <c r="A308" s="42" t="s">
        <v>689</v>
      </c>
      <c r="B308" s="44" t="s">
        <v>690</v>
      </c>
      <c r="C308" s="44">
        <v>107.0</v>
      </c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3.5" customHeight="1">
      <c r="A309" s="42" t="s">
        <v>691</v>
      </c>
      <c r="B309" s="44" t="s">
        <v>692</v>
      </c>
      <c r="C309" s="44">
        <v>15.0</v>
      </c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3.5" customHeight="1">
      <c r="A310" s="42" t="s">
        <v>693</v>
      </c>
      <c r="B310" s="44" t="s">
        <v>694</v>
      </c>
      <c r="C310" s="44">
        <v>40.0</v>
      </c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3.5" customHeight="1">
      <c r="A311" s="42" t="s">
        <v>695</v>
      </c>
      <c r="B311" s="44" t="s">
        <v>696</v>
      </c>
      <c r="C311" s="44">
        <v>36.0</v>
      </c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3.5" customHeight="1">
      <c r="A312" s="42" t="s">
        <v>697</v>
      </c>
      <c r="B312" s="44" t="s">
        <v>698</v>
      </c>
      <c r="C312" s="44">
        <v>91.0</v>
      </c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3.5" customHeight="1">
      <c r="A313" s="42" t="s">
        <v>699</v>
      </c>
      <c r="B313" s="44" t="s">
        <v>700</v>
      </c>
      <c r="C313" s="44">
        <v>36.0</v>
      </c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3.5" customHeight="1">
      <c r="A314" s="42" t="s">
        <v>701</v>
      </c>
      <c r="B314" s="44" t="s">
        <v>702</v>
      </c>
      <c r="C314" s="44">
        <v>21.0</v>
      </c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3.5" customHeight="1">
      <c r="A315" s="42" t="s">
        <v>703</v>
      </c>
      <c r="B315" s="44" t="s">
        <v>704</v>
      </c>
      <c r="C315" s="44">
        <v>53.0</v>
      </c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3.5" customHeight="1">
      <c r="A316" s="42" t="s">
        <v>705</v>
      </c>
      <c r="B316" s="44" t="s">
        <v>706</v>
      </c>
      <c r="C316" s="44">
        <v>21.0</v>
      </c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3.5" customHeight="1">
      <c r="A317" s="42" t="s">
        <v>707</v>
      </c>
      <c r="B317" s="44" t="s">
        <v>708</v>
      </c>
      <c r="C317" s="44">
        <v>21.0</v>
      </c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3.5" customHeight="1">
      <c r="A318" s="42" t="s">
        <v>709</v>
      </c>
      <c r="B318" s="44" t="s">
        <v>710</v>
      </c>
      <c r="C318" s="44">
        <v>53.0</v>
      </c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3.5" customHeight="1">
      <c r="A319" s="42" t="s">
        <v>711</v>
      </c>
      <c r="B319" s="44" t="s">
        <v>712</v>
      </c>
      <c r="C319" s="44">
        <v>80.0</v>
      </c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3.5" customHeight="1">
      <c r="A320" s="42" t="s">
        <v>713</v>
      </c>
      <c r="B320" s="44" t="s">
        <v>714</v>
      </c>
      <c r="C320" s="44">
        <v>71.0</v>
      </c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3.5" customHeight="1">
      <c r="A321" s="42" t="s">
        <v>715</v>
      </c>
      <c r="B321" s="44" t="s">
        <v>716</v>
      </c>
      <c r="C321" s="44">
        <v>91.0</v>
      </c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3.5" customHeight="1">
      <c r="A322" s="42" t="s">
        <v>717</v>
      </c>
      <c r="B322" s="44" t="s">
        <v>718</v>
      </c>
      <c r="C322" s="44">
        <v>53.0</v>
      </c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3.5" customHeight="1">
      <c r="A323" s="42" t="s">
        <v>719</v>
      </c>
      <c r="B323" s="44" t="s">
        <v>720</v>
      </c>
      <c r="C323" s="44">
        <v>64.0</v>
      </c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3.5" customHeight="1">
      <c r="A324" s="42" t="s">
        <v>721</v>
      </c>
      <c r="B324" s="44" t="s">
        <v>722</v>
      </c>
      <c r="C324" s="44">
        <v>7.0</v>
      </c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3.5" customHeight="1">
      <c r="A325" s="42" t="s">
        <v>723</v>
      </c>
      <c r="B325" s="44" t="s">
        <v>724</v>
      </c>
      <c r="C325" s="44">
        <v>53.0</v>
      </c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3.5" customHeight="1">
      <c r="A326" s="42" t="s">
        <v>725</v>
      </c>
      <c r="B326" s="44" t="s">
        <v>726</v>
      </c>
      <c r="C326" s="44">
        <v>64.0</v>
      </c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3.5" customHeight="1">
      <c r="A327" s="42" t="s">
        <v>727</v>
      </c>
      <c r="B327" s="44" t="s">
        <v>728</v>
      </c>
      <c r="C327" s="44">
        <v>58.0</v>
      </c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3.5" customHeight="1">
      <c r="A328" s="42" t="s">
        <v>729</v>
      </c>
      <c r="B328" s="44" t="s">
        <v>730</v>
      </c>
      <c r="C328" s="44">
        <v>58.0</v>
      </c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3.5" customHeight="1">
      <c r="A329" s="42" t="s">
        <v>731</v>
      </c>
      <c r="B329" s="44" t="s">
        <v>732</v>
      </c>
      <c r="C329" s="44">
        <v>49.0</v>
      </c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3.5" customHeight="1">
      <c r="A330" s="42" t="s">
        <v>733</v>
      </c>
      <c r="B330" s="44" t="s">
        <v>734</v>
      </c>
      <c r="C330" s="44">
        <v>16.0</v>
      </c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3.5" customHeight="1">
      <c r="A331" s="42" t="s">
        <v>735</v>
      </c>
      <c r="B331" s="44" t="s">
        <v>736</v>
      </c>
      <c r="C331" s="44">
        <v>14.0</v>
      </c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3.5" customHeight="1">
      <c r="A332" s="42" t="s">
        <v>737</v>
      </c>
      <c r="B332" s="44" t="s">
        <v>738</v>
      </c>
      <c r="C332" s="44">
        <v>40.0</v>
      </c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3.5" customHeight="1">
      <c r="A333" s="42" t="s">
        <v>739</v>
      </c>
      <c r="B333" s="44" t="s">
        <v>740</v>
      </c>
      <c r="C333" s="44">
        <v>27.0</v>
      </c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3.5" customHeight="1">
      <c r="A334" s="42" t="s">
        <v>741</v>
      </c>
      <c r="B334" s="44" t="s">
        <v>742</v>
      </c>
      <c r="C334" s="44">
        <v>58.0</v>
      </c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3.5" customHeight="1">
      <c r="A335" s="42" t="s">
        <v>743</v>
      </c>
      <c r="B335" s="44" t="s">
        <v>744</v>
      </c>
      <c r="C335" s="44">
        <v>71.0</v>
      </c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3.5" customHeight="1">
      <c r="A336" s="42" t="s">
        <v>745</v>
      </c>
      <c r="B336" s="44" t="s">
        <v>746</v>
      </c>
      <c r="C336" s="44">
        <v>107.0</v>
      </c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3.5" customHeight="1">
      <c r="A337" s="42" t="s">
        <v>747</v>
      </c>
      <c r="B337" s="44" t="s">
        <v>748</v>
      </c>
      <c r="C337" s="44">
        <v>91.0</v>
      </c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3.5" customHeight="1">
      <c r="A338" s="42" t="s">
        <v>749</v>
      </c>
      <c r="B338" s="44" t="s">
        <v>750</v>
      </c>
      <c r="C338" s="44">
        <v>16.0</v>
      </c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3.5" customHeight="1">
      <c r="A339" s="42" t="s">
        <v>751</v>
      </c>
      <c r="B339" s="44" t="s">
        <v>752</v>
      </c>
      <c r="C339" s="44">
        <v>36.0</v>
      </c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3.5" customHeight="1">
      <c r="A340" s="42" t="s">
        <v>753</v>
      </c>
      <c r="B340" s="44" t="s">
        <v>754</v>
      </c>
      <c r="C340" s="44">
        <v>64.0</v>
      </c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3.5" customHeight="1">
      <c r="A341" s="42" t="s">
        <v>755</v>
      </c>
      <c r="B341" s="44" t="s">
        <v>756</v>
      </c>
      <c r="C341" s="44">
        <v>107.0</v>
      </c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3.5" customHeight="1">
      <c r="A342" s="42" t="s">
        <v>757</v>
      </c>
      <c r="B342" s="44" t="s">
        <v>758</v>
      </c>
      <c r="C342" s="44">
        <v>107.0</v>
      </c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3.5" customHeight="1">
      <c r="A343" s="42" t="s">
        <v>759</v>
      </c>
      <c r="B343" s="44" t="s">
        <v>760</v>
      </c>
      <c r="C343" s="44">
        <v>58.0</v>
      </c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3.5" customHeight="1">
      <c r="A344" s="42" t="s">
        <v>761</v>
      </c>
      <c r="B344" s="44" t="s">
        <v>762</v>
      </c>
      <c r="C344" s="44">
        <v>13.0</v>
      </c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3.5" customHeight="1">
      <c r="A345" s="42" t="s">
        <v>763</v>
      </c>
      <c r="B345" s="44" t="s">
        <v>764</v>
      </c>
      <c r="C345" s="44">
        <v>15.0</v>
      </c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3.5" customHeight="1">
      <c r="A346" s="42" t="s">
        <v>765</v>
      </c>
      <c r="B346" s="44" t="s">
        <v>766</v>
      </c>
      <c r="C346" s="44">
        <v>49.0</v>
      </c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3.5" customHeight="1">
      <c r="A347" s="42" t="s">
        <v>767</v>
      </c>
      <c r="B347" s="44" t="s">
        <v>768</v>
      </c>
      <c r="C347" s="44">
        <v>6.0</v>
      </c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3.5" customHeight="1">
      <c r="A348" s="42" t="s">
        <v>769</v>
      </c>
      <c r="B348" s="44" t="s">
        <v>770</v>
      </c>
      <c r="C348" s="44">
        <v>6.0</v>
      </c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3.5" customHeight="1">
      <c r="A349" s="42" t="s">
        <v>771</v>
      </c>
      <c r="B349" s="44" t="s">
        <v>772</v>
      </c>
      <c r="C349" s="44">
        <v>13.0</v>
      </c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3.5" customHeight="1">
      <c r="A350" s="42" t="s">
        <v>773</v>
      </c>
      <c r="B350" s="44" t="s">
        <v>774</v>
      </c>
      <c r="C350" s="44">
        <v>64.0</v>
      </c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3.5" customHeight="1">
      <c r="A351" s="42" t="s">
        <v>775</v>
      </c>
      <c r="B351" s="44" t="s">
        <v>776</v>
      </c>
      <c r="C351" s="44">
        <v>61.0</v>
      </c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3.5" customHeight="1">
      <c r="A352" s="42" t="s">
        <v>777</v>
      </c>
      <c r="B352" s="44" t="s">
        <v>778</v>
      </c>
      <c r="C352" s="44">
        <v>58.0</v>
      </c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3.5" customHeight="1">
      <c r="A353" s="42" t="s">
        <v>779</v>
      </c>
      <c r="B353" s="44" t="s">
        <v>780</v>
      </c>
      <c r="C353" s="44">
        <v>128.0</v>
      </c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3.5" customHeight="1">
      <c r="A354" s="42" t="s">
        <v>781</v>
      </c>
      <c r="B354" s="44" t="s">
        <v>782</v>
      </c>
      <c r="C354" s="44">
        <v>28.0</v>
      </c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3.5" customHeight="1">
      <c r="A355" s="42" t="s">
        <v>783</v>
      </c>
      <c r="B355" s="44" t="s">
        <v>784</v>
      </c>
      <c r="C355" s="44">
        <v>15.0</v>
      </c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3.5" customHeight="1">
      <c r="A356" s="42" t="s">
        <v>785</v>
      </c>
      <c r="B356" s="44" t="s">
        <v>786</v>
      </c>
      <c r="C356" s="44">
        <v>40.0</v>
      </c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3.5" customHeight="1">
      <c r="A357" s="42" t="s">
        <v>787</v>
      </c>
      <c r="B357" s="44" t="s">
        <v>788</v>
      </c>
      <c r="C357" s="44">
        <v>40.0</v>
      </c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3.5" customHeight="1">
      <c r="A358" s="42" t="s">
        <v>789</v>
      </c>
      <c r="B358" s="44" t="s">
        <v>790</v>
      </c>
      <c r="C358" s="44">
        <v>28.0</v>
      </c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3.5" customHeight="1">
      <c r="A359" s="42" t="s">
        <v>791</v>
      </c>
      <c r="B359" s="44" t="s">
        <v>792</v>
      </c>
      <c r="C359" s="44">
        <v>91.0</v>
      </c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3.5" customHeight="1">
      <c r="A360" s="42" t="s">
        <v>793</v>
      </c>
      <c r="B360" s="44" t="s">
        <v>794</v>
      </c>
      <c r="C360" s="44">
        <v>40.0</v>
      </c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3.5" customHeight="1">
      <c r="A361" s="42" t="s">
        <v>795</v>
      </c>
      <c r="B361" s="44" t="s">
        <v>796</v>
      </c>
      <c r="C361" s="44">
        <v>46.0</v>
      </c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3.5" customHeight="1">
      <c r="A362" s="42" t="s">
        <v>797</v>
      </c>
      <c r="B362" s="44" t="s">
        <v>798</v>
      </c>
      <c r="C362" s="44">
        <v>40.0</v>
      </c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3.5" customHeight="1">
      <c r="A363" s="42" t="s">
        <v>799</v>
      </c>
      <c r="B363" s="44" t="s">
        <v>800</v>
      </c>
      <c r="C363" s="44">
        <v>36.0</v>
      </c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3.5" customHeight="1">
      <c r="A364" s="42" t="s">
        <v>801</v>
      </c>
      <c r="B364" s="44" t="s">
        <v>802</v>
      </c>
      <c r="C364" s="44">
        <v>40.0</v>
      </c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3.5" customHeight="1">
      <c r="A365" s="42" t="s">
        <v>803</v>
      </c>
      <c r="B365" s="44" t="s">
        <v>804</v>
      </c>
      <c r="C365" s="44">
        <v>5.0</v>
      </c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3.5" customHeight="1">
      <c r="A366" s="42" t="s">
        <v>805</v>
      </c>
      <c r="B366" s="44" t="s">
        <v>806</v>
      </c>
      <c r="C366" s="44">
        <v>80.0</v>
      </c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3.5" customHeight="1">
      <c r="A367" s="42" t="s">
        <v>807</v>
      </c>
      <c r="B367" s="44" t="s">
        <v>808</v>
      </c>
      <c r="C367" s="44">
        <v>46.0</v>
      </c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3.5" customHeight="1">
      <c r="A368" s="42" t="s">
        <v>809</v>
      </c>
      <c r="B368" s="44" t="s">
        <v>810</v>
      </c>
      <c r="C368" s="44">
        <v>91.0</v>
      </c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3.5" customHeight="1">
      <c r="A369" s="42" t="s">
        <v>811</v>
      </c>
      <c r="B369" s="44" t="s">
        <v>812</v>
      </c>
      <c r="C369" s="44">
        <v>107.0</v>
      </c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3.5" customHeight="1">
      <c r="A370" s="42" t="s">
        <v>813</v>
      </c>
      <c r="B370" s="44" t="s">
        <v>814</v>
      </c>
      <c r="C370" s="44">
        <v>107.0</v>
      </c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3.5" customHeight="1">
      <c r="A371" s="42" t="s">
        <v>815</v>
      </c>
      <c r="B371" s="44" t="s">
        <v>816</v>
      </c>
      <c r="C371" s="44">
        <v>80.0</v>
      </c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3.5" customHeight="1">
      <c r="A372" s="42" t="s">
        <v>817</v>
      </c>
      <c r="B372" s="44" t="s">
        <v>818</v>
      </c>
      <c r="C372" s="44">
        <v>58.0</v>
      </c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3.5" customHeight="1">
      <c r="A373" s="42" t="s">
        <v>819</v>
      </c>
      <c r="B373" s="44" t="s">
        <v>820</v>
      </c>
      <c r="C373" s="44">
        <v>56.0</v>
      </c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3.5" customHeight="1">
      <c r="A374" s="42" t="s">
        <v>821</v>
      </c>
      <c r="B374" s="44" t="s">
        <v>822</v>
      </c>
      <c r="C374" s="44">
        <v>58.0</v>
      </c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3.5" customHeight="1">
      <c r="A375" s="42" t="s">
        <v>823</v>
      </c>
      <c r="B375" s="44" t="s">
        <v>824</v>
      </c>
      <c r="C375" s="44">
        <v>32.0</v>
      </c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3.5" customHeight="1">
      <c r="A376" s="42" t="s">
        <v>825</v>
      </c>
      <c r="B376" s="44" t="s">
        <v>826</v>
      </c>
      <c r="C376" s="44">
        <v>107.0</v>
      </c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3.5" customHeight="1">
      <c r="A377" s="42" t="s">
        <v>827</v>
      </c>
      <c r="B377" s="44" t="s">
        <v>828</v>
      </c>
      <c r="C377" s="44">
        <v>16.0</v>
      </c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3.5" customHeight="1">
      <c r="A378" s="42" t="s">
        <v>829</v>
      </c>
      <c r="B378" s="44" t="s">
        <v>830</v>
      </c>
      <c r="C378" s="44">
        <v>32.0</v>
      </c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3.5" customHeight="1">
      <c r="A379" s="42" t="s">
        <v>831</v>
      </c>
      <c r="B379" s="44" t="s">
        <v>832</v>
      </c>
      <c r="C379" s="44">
        <v>13.0</v>
      </c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3.5" customHeight="1">
      <c r="A380" s="42" t="s">
        <v>833</v>
      </c>
      <c r="B380" s="44" t="s">
        <v>834</v>
      </c>
      <c r="C380" s="44">
        <v>91.0</v>
      </c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3.5" customHeight="1">
      <c r="A381" s="42" t="s">
        <v>835</v>
      </c>
      <c r="B381" s="44" t="s">
        <v>836</v>
      </c>
      <c r="C381" s="44">
        <v>71.0</v>
      </c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3.5" customHeight="1">
      <c r="A382" s="42" t="s">
        <v>837</v>
      </c>
      <c r="B382" s="44" t="s">
        <v>838</v>
      </c>
      <c r="C382" s="44">
        <v>53.0</v>
      </c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3.5" customHeight="1">
      <c r="A383" s="42" t="s">
        <v>839</v>
      </c>
      <c r="B383" s="44" t="s">
        <v>840</v>
      </c>
      <c r="C383" s="44">
        <v>6.0</v>
      </c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3.5" customHeight="1">
      <c r="A384" s="42" t="s">
        <v>841</v>
      </c>
      <c r="B384" s="44" t="s">
        <v>842</v>
      </c>
      <c r="C384" s="44">
        <v>12.0</v>
      </c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3.5" customHeight="1">
      <c r="A385" s="42" t="s">
        <v>843</v>
      </c>
      <c r="B385" s="44" t="s">
        <v>844</v>
      </c>
      <c r="C385" s="44">
        <v>21.0</v>
      </c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3.5" customHeight="1">
      <c r="A386" s="42" t="s">
        <v>845</v>
      </c>
      <c r="B386" s="44" t="s">
        <v>846</v>
      </c>
      <c r="C386" s="44">
        <v>36.0</v>
      </c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3.5" customHeight="1">
      <c r="A387" s="42" t="s">
        <v>847</v>
      </c>
      <c r="B387" s="44" t="s">
        <v>848</v>
      </c>
      <c r="C387" s="44">
        <v>46.0</v>
      </c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3.5" customHeight="1">
      <c r="A388" s="42" t="s">
        <v>849</v>
      </c>
      <c r="B388" s="44" t="s">
        <v>850</v>
      </c>
      <c r="C388" s="44">
        <v>46.0</v>
      </c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3.5" customHeight="1">
      <c r="A389" s="42" t="s">
        <v>851</v>
      </c>
      <c r="B389" s="44" t="s">
        <v>852</v>
      </c>
      <c r="C389" s="44">
        <v>46.0</v>
      </c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3.5" customHeight="1">
      <c r="A390" s="42" t="s">
        <v>853</v>
      </c>
      <c r="B390" s="44" t="s">
        <v>854</v>
      </c>
      <c r="C390" s="44">
        <v>46.0</v>
      </c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3.5" customHeight="1">
      <c r="A391" s="42" t="s">
        <v>855</v>
      </c>
      <c r="B391" s="44" t="s">
        <v>856</v>
      </c>
      <c r="C391" s="44">
        <v>21.0</v>
      </c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3.5" customHeight="1">
      <c r="A392" s="42" t="s">
        <v>857</v>
      </c>
      <c r="B392" s="44" t="s">
        <v>858</v>
      </c>
      <c r="C392" s="44">
        <v>21.0</v>
      </c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3.5" customHeight="1">
      <c r="A393" s="42" t="s">
        <v>859</v>
      </c>
      <c r="B393" s="44" t="s">
        <v>860</v>
      </c>
      <c r="C393" s="44">
        <v>21.0</v>
      </c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3.5" customHeight="1">
      <c r="A394" s="42" t="s">
        <v>861</v>
      </c>
      <c r="B394" s="44" t="s">
        <v>862</v>
      </c>
      <c r="C394" s="44">
        <v>80.0</v>
      </c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3.5" customHeight="1">
      <c r="A395" s="42" t="s">
        <v>863</v>
      </c>
      <c r="B395" s="44" t="s">
        <v>864</v>
      </c>
      <c r="C395" s="44">
        <v>128.0</v>
      </c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3.5" customHeight="1">
      <c r="A396" s="42" t="s">
        <v>865</v>
      </c>
      <c r="B396" s="44" t="s">
        <v>866</v>
      </c>
      <c r="C396" s="44">
        <v>14.0</v>
      </c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3.5" customHeight="1">
      <c r="A397" s="42" t="s">
        <v>867</v>
      </c>
      <c r="B397" s="44" t="s">
        <v>868</v>
      </c>
      <c r="C397" s="44">
        <v>58.0</v>
      </c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3.5" customHeight="1">
      <c r="A398" s="42" t="s">
        <v>869</v>
      </c>
      <c r="B398" s="44" t="s">
        <v>870</v>
      </c>
      <c r="C398" s="44">
        <v>36.0</v>
      </c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3.5" customHeight="1">
      <c r="A399" s="42" t="s">
        <v>871</v>
      </c>
      <c r="B399" s="44" t="s">
        <v>872</v>
      </c>
      <c r="C399" s="44">
        <v>36.0</v>
      </c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3.5" customHeight="1">
      <c r="A400" s="42" t="s">
        <v>873</v>
      </c>
      <c r="B400" s="44" t="s">
        <v>874</v>
      </c>
      <c r="C400" s="44">
        <v>6.0</v>
      </c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3.5" customHeight="1">
      <c r="A401" s="42" t="s">
        <v>875</v>
      </c>
      <c r="B401" s="44" t="s">
        <v>876</v>
      </c>
      <c r="C401" s="44">
        <v>320.0</v>
      </c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3.5" customHeight="1">
      <c r="A402" s="42" t="s">
        <v>877</v>
      </c>
      <c r="B402" s="44" t="s">
        <v>878</v>
      </c>
      <c r="C402" s="44">
        <v>32.0</v>
      </c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3.5" customHeight="1">
      <c r="A403" s="42" t="s">
        <v>879</v>
      </c>
      <c r="B403" s="44" t="s">
        <v>880</v>
      </c>
      <c r="C403" s="44">
        <v>13.0</v>
      </c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3.5" customHeight="1">
      <c r="A404" s="42" t="s">
        <v>881</v>
      </c>
      <c r="B404" s="44" t="s">
        <v>882</v>
      </c>
      <c r="C404" s="44">
        <v>12.0</v>
      </c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3.5" customHeight="1">
      <c r="A405" s="42" t="s">
        <v>883</v>
      </c>
      <c r="B405" s="44" t="s">
        <v>884</v>
      </c>
      <c r="C405" s="44">
        <v>32.0</v>
      </c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3.5" customHeight="1">
      <c r="A406" s="42" t="s">
        <v>885</v>
      </c>
      <c r="B406" s="44" t="s">
        <v>886</v>
      </c>
      <c r="C406" s="44">
        <v>36.0</v>
      </c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3.5" customHeight="1">
      <c r="A407" s="42" t="s">
        <v>887</v>
      </c>
      <c r="B407" s="44" t="s">
        <v>888</v>
      </c>
      <c r="C407" s="44">
        <v>71.0</v>
      </c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3.5" customHeight="1">
      <c r="A408" s="42" t="s">
        <v>889</v>
      </c>
      <c r="B408" s="44" t="s">
        <v>890</v>
      </c>
      <c r="C408" s="44">
        <v>91.0</v>
      </c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3.5" customHeight="1">
      <c r="A409" s="42" t="s">
        <v>891</v>
      </c>
      <c r="B409" s="44" t="s">
        <v>892</v>
      </c>
      <c r="C409" s="44">
        <v>46.0</v>
      </c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3.5" customHeight="1">
      <c r="A410" s="42" t="s">
        <v>893</v>
      </c>
      <c r="B410" s="44" t="s">
        <v>894</v>
      </c>
      <c r="C410" s="44">
        <v>36.0</v>
      </c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3.5" customHeight="1">
      <c r="A411" s="42" t="s">
        <v>895</v>
      </c>
      <c r="B411" s="44" t="s">
        <v>896</v>
      </c>
      <c r="C411" s="44">
        <v>6.0</v>
      </c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3.5" customHeight="1">
      <c r="A412" s="42" t="s">
        <v>897</v>
      </c>
      <c r="B412" s="44" t="s">
        <v>898</v>
      </c>
      <c r="C412" s="44">
        <v>40.0</v>
      </c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3.5" customHeight="1">
      <c r="A413" s="42" t="s">
        <v>899</v>
      </c>
      <c r="B413" s="44" t="s">
        <v>900</v>
      </c>
      <c r="C413" s="44">
        <v>29.0</v>
      </c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3.5" customHeight="1">
      <c r="A414" s="42" t="s">
        <v>901</v>
      </c>
      <c r="B414" s="44" t="s">
        <v>902</v>
      </c>
      <c r="C414" s="44">
        <v>64.0</v>
      </c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3.5" customHeight="1">
      <c r="A415" s="42" t="s">
        <v>903</v>
      </c>
      <c r="B415" s="44" t="s">
        <v>904</v>
      </c>
      <c r="C415" s="44">
        <v>18.0</v>
      </c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3.5" customHeight="1">
      <c r="A416" s="42" t="s">
        <v>905</v>
      </c>
      <c r="B416" s="44" t="s">
        <v>906</v>
      </c>
      <c r="C416" s="44">
        <v>19.0</v>
      </c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3.5" customHeight="1">
      <c r="A417" s="42" t="s">
        <v>907</v>
      </c>
      <c r="B417" s="44" t="s">
        <v>908</v>
      </c>
      <c r="C417" s="44">
        <v>36.0</v>
      </c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3.5" customHeight="1">
      <c r="A418" s="42" t="s">
        <v>909</v>
      </c>
      <c r="B418" s="44" t="s">
        <v>910</v>
      </c>
      <c r="C418" s="44">
        <v>91.0</v>
      </c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3.5" customHeight="1">
      <c r="A419" s="42" t="s">
        <v>911</v>
      </c>
      <c r="B419" s="44" t="s">
        <v>912</v>
      </c>
      <c r="C419" s="44">
        <v>64.0</v>
      </c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3.5" customHeight="1">
      <c r="A420" s="42" t="s">
        <v>913</v>
      </c>
      <c r="B420" s="44" t="s">
        <v>914</v>
      </c>
      <c r="C420" s="44">
        <v>16.0</v>
      </c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3.5" customHeight="1">
      <c r="A421" s="42" t="s">
        <v>915</v>
      </c>
      <c r="B421" s="44" t="s">
        <v>916</v>
      </c>
      <c r="C421" s="44">
        <v>40.0</v>
      </c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3.5" customHeight="1">
      <c r="A422" s="42" t="s">
        <v>917</v>
      </c>
      <c r="B422" s="44" t="s">
        <v>918</v>
      </c>
      <c r="C422" s="44">
        <v>6.0</v>
      </c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3.5" customHeight="1">
      <c r="A423" s="42" t="s">
        <v>919</v>
      </c>
      <c r="B423" s="44" t="s">
        <v>920</v>
      </c>
      <c r="C423" s="44">
        <v>13.0</v>
      </c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3.5" customHeight="1">
      <c r="A424" s="42" t="s">
        <v>921</v>
      </c>
      <c r="B424" s="44" t="s">
        <v>922</v>
      </c>
      <c r="C424" s="44">
        <v>14.0</v>
      </c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3.5" customHeight="1">
      <c r="A425" s="42" t="s">
        <v>923</v>
      </c>
      <c r="B425" s="44" t="s">
        <v>924</v>
      </c>
      <c r="C425" s="44">
        <v>29.0</v>
      </c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3.5" customHeight="1">
      <c r="A426" s="42" t="s">
        <v>925</v>
      </c>
      <c r="B426" s="44" t="s">
        <v>926</v>
      </c>
      <c r="C426" s="44">
        <v>15.0</v>
      </c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3.5" customHeight="1">
      <c r="A427" s="42" t="s">
        <v>927</v>
      </c>
      <c r="B427" s="44" t="s">
        <v>928</v>
      </c>
      <c r="C427" s="44">
        <v>56.0</v>
      </c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3.5" customHeight="1">
      <c r="A428" s="42" t="s">
        <v>929</v>
      </c>
      <c r="B428" s="44" t="s">
        <v>930</v>
      </c>
      <c r="C428" s="44">
        <v>64.0</v>
      </c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3.5" customHeight="1">
      <c r="A429" s="42" t="s">
        <v>931</v>
      </c>
      <c r="B429" s="44" t="s">
        <v>932</v>
      </c>
      <c r="C429" s="44">
        <v>64.0</v>
      </c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3.5" customHeight="1">
      <c r="A430" s="42" t="s">
        <v>933</v>
      </c>
      <c r="B430" s="44" t="s">
        <v>934</v>
      </c>
      <c r="C430" s="44">
        <v>128.0</v>
      </c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3.5" customHeight="1">
      <c r="A431" s="42" t="s">
        <v>935</v>
      </c>
      <c r="B431" s="44" t="s">
        <v>936</v>
      </c>
      <c r="C431" s="44">
        <v>64.0</v>
      </c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3.5" customHeight="1">
      <c r="A432" s="42" t="s">
        <v>937</v>
      </c>
      <c r="B432" s="44" t="s">
        <v>938</v>
      </c>
      <c r="C432" s="44">
        <v>128.0</v>
      </c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3.5" customHeight="1">
      <c r="A433" s="42" t="s">
        <v>939</v>
      </c>
      <c r="B433" s="44" t="s">
        <v>940</v>
      </c>
      <c r="C433" s="44">
        <v>53.0</v>
      </c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3.5" customHeight="1">
      <c r="A434" s="42" t="s">
        <v>941</v>
      </c>
      <c r="B434" s="44" t="s">
        <v>942</v>
      </c>
      <c r="C434" s="44">
        <v>49.0</v>
      </c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3.5" customHeight="1">
      <c r="A435" s="42" t="s">
        <v>943</v>
      </c>
      <c r="B435" s="44" t="s">
        <v>944</v>
      </c>
      <c r="C435" s="44">
        <v>49.0</v>
      </c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3.5" customHeight="1">
      <c r="A436" s="42" t="s">
        <v>945</v>
      </c>
      <c r="B436" s="44" t="s">
        <v>946</v>
      </c>
      <c r="C436" s="44">
        <v>80.0</v>
      </c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3.5" customHeight="1">
      <c r="A437" s="42" t="s">
        <v>947</v>
      </c>
      <c r="B437" s="44" t="s">
        <v>948</v>
      </c>
      <c r="C437" s="44">
        <v>71.0</v>
      </c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3.5" customHeight="1">
      <c r="A438" s="42" t="s">
        <v>949</v>
      </c>
      <c r="B438" s="44" t="s">
        <v>950</v>
      </c>
      <c r="C438" s="44">
        <v>80.0</v>
      </c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3.5" customHeight="1">
      <c r="A439" s="42" t="s">
        <v>951</v>
      </c>
      <c r="B439" s="44" t="s">
        <v>952</v>
      </c>
      <c r="C439" s="44">
        <v>80.0</v>
      </c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3.5" customHeight="1">
      <c r="A440" s="42" t="s">
        <v>953</v>
      </c>
      <c r="B440" s="44" t="s">
        <v>954</v>
      </c>
      <c r="C440" s="44">
        <v>53.0</v>
      </c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3.5" customHeight="1">
      <c r="A441" s="42" t="s">
        <v>955</v>
      </c>
      <c r="B441" s="44" t="s">
        <v>956</v>
      </c>
      <c r="C441" s="44">
        <v>49.0</v>
      </c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3.5" customHeight="1">
      <c r="A442" s="42" t="s">
        <v>957</v>
      </c>
      <c r="B442" s="44" t="s">
        <v>958</v>
      </c>
      <c r="C442" s="44">
        <v>91.0</v>
      </c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3.5" customHeight="1">
      <c r="A443" s="42" t="s">
        <v>959</v>
      </c>
      <c r="B443" s="44" t="s">
        <v>960</v>
      </c>
      <c r="C443" s="44">
        <v>36.0</v>
      </c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3.5" customHeight="1">
      <c r="A444" s="42" t="s">
        <v>961</v>
      </c>
      <c r="B444" s="44" t="s">
        <v>962</v>
      </c>
      <c r="C444" s="44">
        <v>32.0</v>
      </c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3.5" customHeight="1">
      <c r="A445" s="42" t="s">
        <v>963</v>
      </c>
      <c r="B445" s="44" t="s">
        <v>964</v>
      </c>
      <c r="C445" s="44">
        <v>16.0</v>
      </c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3.5" customHeight="1">
      <c r="A446" s="42" t="s">
        <v>965</v>
      </c>
      <c r="B446" s="44" t="s">
        <v>966</v>
      </c>
      <c r="C446" s="44">
        <v>21.0</v>
      </c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3.5" customHeight="1">
      <c r="A447" s="42" t="s">
        <v>967</v>
      </c>
      <c r="B447" s="44" t="s">
        <v>968</v>
      </c>
      <c r="C447" s="44">
        <v>58.0</v>
      </c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3.5" customHeight="1">
      <c r="A448" s="42" t="s">
        <v>969</v>
      </c>
      <c r="B448" s="44" t="s">
        <v>970</v>
      </c>
      <c r="C448" s="44">
        <v>40.0</v>
      </c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3.5" customHeight="1">
      <c r="A449" s="42" t="s">
        <v>971</v>
      </c>
      <c r="B449" s="44" t="s">
        <v>972</v>
      </c>
      <c r="C449" s="44">
        <v>107.0</v>
      </c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3.5" customHeight="1">
      <c r="A450" s="42" t="s">
        <v>973</v>
      </c>
      <c r="B450" s="44" t="s">
        <v>974</v>
      </c>
      <c r="C450" s="44">
        <v>19.0</v>
      </c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3.5" customHeight="1">
      <c r="A451" s="42" t="s">
        <v>975</v>
      </c>
      <c r="B451" s="44" t="s">
        <v>976</v>
      </c>
      <c r="C451" s="44">
        <v>49.0</v>
      </c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3.5" customHeight="1">
      <c r="A452" s="42" t="s">
        <v>977</v>
      </c>
      <c r="B452" s="44" t="s">
        <v>978</v>
      </c>
      <c r="C452" s="44">
        <v>40.0</v>
      </c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3.5" customHeight="1">
      <c r="A453" s="42" t="s">
        <v>979</v>
      </c>
      <c r="B453" s="44" t="s">
        <v>980</v>
      </c>
      <c r="C453" s="44">
        <v>9.0</v>
      </c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3.5" customHeight="1">
      <c r="A454" s="42" t="s">
        <v>981</v>
      </c>
      <c r="B454" s="44" t="s">
        <v>982</v>
      </c>
      <c r="C454" s="44">
        <v>29.0</v>
      </c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3.5" customHeight="1">
      <c r="A455" s="42" t="s">
        <v>983</v>
      </c>
      <c r="B455" s="44" t="s">
        <v>984</v>
      </c>
      <c r="C455" s="44">
        <v>46.0</v>
      </c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3.5" customHeight="1">
      <c r="A456" s="42" t="s">
        <v>985</v>
      </c>
      <c r="B456" s="44" t="s">
        <v>986</v>
      </c>
      <c r="C456" s="44">
        <v>43.0</v>
      </c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3.5" customHeight="1">
      <c r="A457" s="42" t="s">
        <v>987</v>
      </c>
      <c r="B457" s="44" t="s">
        <v>988</v>
      </c>
      <c r="C457" s="44">
        <v>40.0</v>
      </c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3.5" customHeight="1">
      <c r="A458" s="42" t="s">
        <v>989</v>
      </c>
      <c r="B458" s="44" t="s">
        <v>990</v>
      </c>
      <c r="C458" s="44">
        <v>36.0</v>
      </c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3.5" customHeight="1">
      <c r="A459" s="42" t="s">
        <v>991</v>
      </c>
      <c r="B459" s="44" t="s">
        <v>992</v>
      </c>
      <c r="C459" s="44">
        <v>29.0</v>
      </c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3.5" customHeight="1">
      <c r="A460" s="42" t="s">
        <v>993</v>
      </c>
      <c r="B460" s="44" t="s">
        <v>994</v>
      </c>
      <c r="C460" s="44">
        <v>40.0</v>
      </c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3.5" customHeight="1">
      <c r="A461" s="42" t="s">
        <v>995</v>
      </c>
      <c r="B461" s="44" t="s">
        <v>996</v>
      </c>
      <c r="C461" s="44">
        <v>34.0</v>
      </c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3.5" customHeight="1">
      <c r="A462" s="42" t="s">
        <v>997</v>
      </c>
      <c r="B462" s="44" t="s">
        <v>998</v>
      </c>
      <c r="C462" s="44">
        <v>20.0</v>
      </c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3.5" customHeight="1">
      <c r="A463" s="42" t="s">
        <v>999</v>
      </c>
      <c r="B463" s="44" t="s">
        <v>1000</v>
      </c>
      <c r="C463" s="44">
        <v>16.0</v>
      </c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3.5" customHeight="1">
      <c r="A464" s="42" t="s">
        <v>1001</v>
      </c>
      <c r="B464" s="44" t="s">
        <v>1002</v>
      </c>
      <c r="C464" s="44">
        <v>21.0</v>
      </c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3.5" customHeight="1">
      <c r="A465" s="42" t="s">
        <v>1003</v>
      </c>
      <c r="B465" s="44" t="s">
        <v>1004</v>
      </c>
      <c r="C465" s="44">
        <v>18.0</v>
      </c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3.5" customHeight="1">
      <c r="A466" s="42" t="s">
        <v>1005</v>
      </c>
      <c r="B466" s="44" t="s">
        <v>1006</v>
      </c>
      <c r="C466" s="44">
        <v>32.0</v>
      </c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3.5" customHeight="1">
      <c r="A467" s="42" t="s">
        <v>1007</v>
      </c>
      <c r="B467" s="44" t="s">
        <v>1008</v>
      </c>
      <c r="C467" s="44">
        <v>64.0</v>
      </c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3.5" customHeight="1">
      <c r="A468" s="42" t="s">
        <v>1009</v>
      </c>
      <c r="B468" s="44" t="s">
        <v>1010</v>
      </c>
      <c r="C468" s="44">
        <v>36.0</v>
      </c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3.5" customHeight="1">
      <c r="A469" s="42" t="s">
        <v>1011</v>
      </c>
      <c r="B469" s="44" t="s">
        <v>1012</v>
      </c>
      <c r="C469" s="44">
        <v>40.0</v>
      </c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3.5" customHeight="1">
      <c r="A470" s="42" t="s">
        <v>1013</v>
      </c>
      <c r="B470" s="44" t="s">
        <v>1014</v>
      </c>
      <c r="C470" s="44">
        <v>128.0</v>
      </c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3.5" customHeight="1">
      <c r="A471" s="42" t="s">
        <v>1015</v>
      </c>
      <c r="B471" s="44" t="s">
        <v>1016</v>
      </c>
      <c r="C471" s="44">
        <v>128.0</v>
      </c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3.5" customHeight="1">
      <c r="A472" s="42" t="s">
        <v>1017</v>
      </c>
      <c r="B472" s="44" t="s">
        <v>1018</v>
      </c>
      <c r="C472" s="44">
        <v>128.0</v>
      </c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3.5" customHeight="1">
      <c r="A473" s="42" t="s">
        <v>1019</v>
      </c>
      <c r="B473" s="44" t="s">
        <v>1020</v>
      </c>
      <c r="C473" s="44">
        <v>91.0</v>
      </c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3.5" customHeight="1">
      <c r="A474" s="42" t="s">
        <v>1021</v>
      </c>
      <c r="B474" s="44" t="s">
        <v>1022</v>
      </c>
      <c r="C474" s="44">
        <v>85.0</v>
      </c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3.5" customHeight="1">
      <c r="A475" s="42" t="s">
        <v>1023</v>
      </c>
      <c r="B475" s="44" t="s">
        <v>1024</v>
      </c>
      <c r="C475" s="44">
        <v>91.0</v>
      </c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3.5" customHeight="1">
      <c r="A476" s="42" t="s">
        <v>1025</v>
      </c>
      <c r="B476" s="44" t="s">
        <v>1026</v>
      </c>
      <c r="C476" s="44">
        <v>91.0</v>
      </c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3.5" customHeight="1">
      <c r="A477" s="42" t="s">
        <v>1027</v>
      </c>
      <c r="B477" s="44" t="s">
        <v>1028</v>
      </c>
      <c r="C477" s="44">
        <v>28.0</v>
      </c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3.5" customHeight="1">
      <c r="A478" s="42" t="s">
        <v>1029</v>
      </c>
      <c r="B478" s="44" t="s">
        <v>1030</v>
      </c>
      <c r="C478" s="44">
        <v>64.0</v>
      </c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3.5" customHeight="1">
      <c r="A479" s="42" t="s">
        <v>1031</v>
      </c>
      <c r="B479" s="44" t="s">
        <v>1032</v>
      </c>
      <c r="C479" s="44">
        <v>53.0</v>
      </c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3.5" customHeight="1">
      <c r="A480" s="42" t="s">
        <v>1033</v>
      </c>
      <c r="B480" s="44" t="s">
        <v>1034</v>
      </c>
      <c r="C480" s="44">
        <v>53.0</v>
      </c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3.5" customHeight="1">
      <c r="A481" s="42" t="s">
        <v>1035</v>
      </c>
      <c r="B481" s="44" t="s">
        <v>1036</v>
      </c>
      <c r="C481" s="44">
        <v>91.0</v>
      </c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3.5" customHeight="1">
      <c r="A482" s="42" t="s">
        <v>1037</v>
      </c>
      <c r="B482" s="44" t="s">
        <v>1038</v>
      </c>
      <c r="C482" s="44">
        <v>19.0</v>
      </c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3.5" customHeight="1">
      <c r="A483" s="42" t="s">
        <v>1039</v>
      </c>
      <c r="B483" s="44" t="s">
        <v>1040</v>
      </c>
      <c r="C483" s="44">
        <v>64.0</v>
      </c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3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3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3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3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3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3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3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3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3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3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3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3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3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3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3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3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3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3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3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3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3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3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3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3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3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3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3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3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3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3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3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3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3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3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3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3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3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3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3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3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3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3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3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3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3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3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3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3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3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3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3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3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3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3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3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3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3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3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3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3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3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3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3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3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3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3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3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3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3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3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3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3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3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3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3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3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3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3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3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3.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3.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3.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3.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3.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3.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3.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3.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3.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3.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3.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3.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3.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3.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3.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3.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3.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3.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3.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3.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3.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3.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3.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3.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3.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3.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3.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3.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3.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3.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3.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3.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3.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3.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3.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3.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3.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3.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3.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3.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3.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3.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3.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3.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3.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3.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3.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3.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3.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3.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3.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3.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3.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3.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3.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3.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3.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3.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3.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3.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3.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3.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3.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3.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3.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3.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3.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3.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3.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3.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3.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3.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3.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3.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3.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3.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3.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3.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3.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3.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3.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3.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3.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3.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3.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3.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3.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3.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3.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3.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3.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3.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3.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3.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3.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3.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3.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3.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3.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3.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3.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3.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3.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3.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3.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3.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3.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3.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3.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3.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3.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3.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3.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3.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3.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3.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3.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3.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3.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3.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3.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3.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3.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3.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3.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3.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3.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3.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3.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3.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3.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3.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3.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3.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3.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3.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3.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3.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3.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3.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3.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3.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3.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3.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3.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3.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3.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3.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3.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3.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3.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3.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3.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3.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3.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3.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3.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3.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3.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3.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3.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3.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3.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3.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3.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3.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3.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3.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3.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3.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3.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3.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3.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3.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3.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3.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3.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3.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3.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3.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3.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3.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3.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3.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3.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3.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3.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3.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3.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3.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3.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3.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3.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3.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3.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3.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3.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3.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3.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3.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3.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3.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3.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3.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3.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3.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3.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3.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3.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3.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3.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3.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3.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3.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3.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3.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3.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3.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3.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3.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3.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3.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3.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3.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3.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3.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3.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3.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3.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3.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3.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3.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3.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3.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3.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3.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3.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3.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3.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3.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3.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3.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3.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3.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3.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3.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3.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3.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3.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3.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3.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3.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3.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3.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3.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3.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3.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3.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3.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3.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3.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3.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3.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3.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3.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3.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3.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3.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3.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3.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3.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3.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3.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3.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3.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3.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3.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3.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3.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3.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3.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3.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3.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3.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3.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3.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3.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3.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3.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3.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3.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3.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3.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3.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3.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3.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3.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3.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3.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3.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3.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3.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3.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3.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3.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3.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3.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3.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3.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3.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3.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3.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3.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3.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3.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3.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3.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3.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3.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3.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3.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3.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3.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3.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3.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3.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3.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3.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3.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3.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3.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3.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3.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3.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3.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3.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3.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3.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3.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3.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3.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3.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3.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3.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3.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3.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3.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3.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3.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3.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3.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3.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3.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3.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3.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3.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3.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3.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3.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3.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3.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3.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3.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3.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3.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3.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3.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3.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3.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3.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3.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3.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3.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3.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3.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3.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3.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3.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3.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3.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3.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3.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3.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3.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3.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3.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3.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3.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3.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3.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3.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3.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3.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3.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3.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3.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3.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3.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3.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3.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3.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3.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3.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3.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3.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3.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3.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3.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3.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3.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3.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3.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3.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3.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3.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3.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3.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3.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3.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3.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3.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3.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3.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3.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3.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3.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3.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3.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3.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3.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3.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3.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3.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3.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3.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3.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3.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3.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71"/>
    <col customWidth="1" min="2" max="2" width="16.71"/>
    <col customWidth="1" min="3" max="3" width="4.71"/>
    <col customWidth="1" min="4" max="4" width="4.86"/>
    <col customWidth="1" min="5" max="6" width="4.71"/>
    <col customWidth="1" min="7" max="26" width="41.43"/>
  </cols>
  <sheetData>
    <row r="1" ht="18.0" customHeight="1">
      <c r="B1" s="45" t="s">
        <v>1041</v>
      </c>
      <c r="C1" s="46"/>
      <c r="D1" s="46"/>
      <c r="E1" s="46"/>
      <c r="F1" s="10"/>
    </row>
    <row r="2">
      <c r="B2" s="47" t="s">
        <v>1042</v>
      </c>
      <c r="C2" s="48" t="s">
        <v>1043</v>
      </c>
      <c r="D2" s="48" t="s">
        <v>1044</v>
      </c>
      <c r="E2" s="48" t="s">
        <v>1045</v>
      </c>
      <c r="F2" s="48" t="s">
        <v>1046</v>
      </c>
    </row>
    <row r="3">
      <c r="A3" s="49" t="s">
        <v>1047</v>
      </c>
      <c r="B3" s="50" t="s">
        <v>1048</v>
      </c>
      <c r="C3" s="51">
        <v>2.4</v>
      </c>
      <c r="D3" s="51">
        <v>1.05</v>
      </c>
      <c r="E3" s="51">
        <v>2.5</v>
      </c>
      <c r="F3" s="51">
        <v>0.38</v>
      </c>
    </row>
    <row r="4">
      <c r="A4" s="52" t="s">
        <v>1049</v>
      </c>
      <c r="B4" s="50" t="s">
        <v>1050</v>
      </c>
      <c r="C4" s="51">
        <v>3.0</v>
      </c>
      <c r="D4" s="51">
        <v>1.12</v>
      </c>
      <c r="E4" s="51">
        <v>2.5</v>
      </c>
      <c r="F4" s="51">
        <v>0.35</v>
      </c>
    </row>
    <row r="5">
      <c r="A5" s="52" t="s">
        <v>1051</v>
      </c>
      <c r="B5" s="50" t="s">
        <v>1052</v>
      </c>
      <c r="C5" s="51">
        <v>3.6</v>
      </c>
      <c r="D5" s="51">
        <v>1.2</v>
      </c>
      <c r="E5" s="51">
        <v>2.5</v>
      </c>
      <c r="F5" s="51">
        <v>0.32</v>
      </c>
    </row>
    <row r="12">
      <c r="E12" s="5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1.43"/>
  </cols>
  <sheetData>
    <row r="1" ht="13.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12"/>
      <c r="B2" s="54" t="s">
        <v>1053</v>
      </c>
      <c r="C2" s="10"/>
      <c r="D2" s="55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>
      <c r="A3" s="12"/>
      <c r="B3" s="56" t="s">
        <v>1054</v>
      </c>
      <c r="C3" s="10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3.5" customHeight="1">
      <c r="A5" s="12"/>
      <c r="B5" s="54" t="s">
        <v>1055</v>
      </c>
      <c r="C5" s="10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3.5" customHeight="1">
      <c r="A6" s="12"/>
      <c r="B6" s="57" t="s">
        <v>1056</v>
      </c>
      <c r="C6" s="10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3.5" customHeight="1">
      <c r="A7" s="12"/>
      <c r="B7" s="57" t="s">
        <v>1057</v>
      </c>
      <c r="C7" s="10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3.5" customHeight="1">
      <c r="A8" s="12"/>
      <c r="B8" s="57" t="s">
        <v>1058</v>
      </c>
      <c r="C8" s="10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3.5" customHeight="1">
      <c r="A9" s="12"/>
      <c r="B9" s="58" t="s">
        <v>1059</v>
      </c>
      <c r="C9" s="59"/>
      <c r="D9" s="59"/>
      <c r="E9" s="59"/>
      <c r="F9" s="60"/>
      <c r="G9" s="6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3.5" customHeight="1">
      <c r="A10" s="12"/>
      <c r="B10" s="62" t="s">
        <v>1060</v>
      </c>
      <c r="C10" s="63"/>
      <c r="D10" s="63"/>
      <c r="E10" s="63"/>
      <c r="F10" s="64"/>
      <c r="G10" s="65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3.5" customHeight="1">
      <c r="A11" s="12"/>
      <c r="B11" s="62" t="s">
        <v>1061</v>
      </c>
      <c r="C11" s="63"/>
      <c r="D11" s="63"/>
      <c r="E11" s="63"/>
      <c r="F11" s="64"/>
      <c r="G11" s="65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3.5" customHeight="1">
      <c r="A12" s="12"/>
      <c r="B12" s="66" t="s">
        <v>1062</v>
      </c>
      <c r="C12" s="67"/>
      <c r="D12" s="67"/>
      <c r="E12" s="67"/>
      <c r="F12" s="67"/>
      <c r="G12" s="68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3.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3.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3.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3.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3.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3.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3.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3.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3.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3.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3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3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3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3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3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3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3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3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3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3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3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3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3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3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3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3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3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3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3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3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3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3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3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3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3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3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3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3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3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3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3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3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3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3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3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3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3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3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3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3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3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3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3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3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3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3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3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3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3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3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3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3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3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3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3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3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3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3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3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3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3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3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3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3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3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3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3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3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3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3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3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3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3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3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3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3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3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3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3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3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3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3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3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3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3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3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3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3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3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3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3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3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3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3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3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3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3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3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3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3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3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3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3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3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3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3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3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3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3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3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3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3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3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3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3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3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3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3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3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3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3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3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3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3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3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3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3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3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3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3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3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3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3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3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3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3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3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3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3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3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3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3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3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3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3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3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3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3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3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3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3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3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3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3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3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3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3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3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3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3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3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3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3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3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3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3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3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3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3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3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3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3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3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3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3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3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3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3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3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3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3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3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3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3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3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3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3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3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3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3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3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3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3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3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3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3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3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3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3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3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3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3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3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3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3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3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3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3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3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3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3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3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3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3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3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3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3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3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3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3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3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3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3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3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3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3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3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3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3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3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3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3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3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3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3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3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3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3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3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3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3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3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3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3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3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3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3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3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3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3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3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3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3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3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3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3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3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3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3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3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3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3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3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3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3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3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3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3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3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3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3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3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3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3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3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3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3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3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3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3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3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3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3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3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3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3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3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3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3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3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3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3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3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3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3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3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3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3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3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3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3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3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3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3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3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3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3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3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3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3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3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3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3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3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3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3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3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3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3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3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3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3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3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3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3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3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3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3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3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3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3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3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3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3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3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3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3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3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3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3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3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3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3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3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3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3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3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3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3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3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3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3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3.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3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3.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3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3.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3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3.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3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3.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3.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3.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3.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3.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3.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3.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3.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3.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3.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3.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3.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3.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3.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3.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3.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3.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3.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3.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3.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3.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3.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3.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3.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3.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3.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3.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3.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3.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3.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3.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3.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3.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3.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3.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3.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3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3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3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3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3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3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3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3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3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3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3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3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3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3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3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3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3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3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3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3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3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3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3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3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3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3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3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3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3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3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3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3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3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3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3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3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3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3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3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3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3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3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3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3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3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3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3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3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3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3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3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3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3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3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3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3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3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3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3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3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3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3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3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3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3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3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3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3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3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3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3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3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3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3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3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3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3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3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3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3.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3.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3.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3.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3.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3.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3.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3.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3.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3.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3.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3.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3.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3.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3.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3.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3.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3.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3.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3.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3.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3.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3.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3.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3.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3.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3.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3.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3.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3.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3.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3.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3.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3.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3.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3.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3.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3.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3.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3.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3.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3.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3.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3.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3.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3.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3.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3.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3.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3.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3.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3.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3.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3.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3.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3.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3.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3.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3.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3.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3.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3.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3.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3.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3.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3.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3.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3.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3.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3.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3.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3.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3.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3.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3.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3.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3.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3.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3.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3.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3.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3.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3.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3.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3.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3.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3.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3.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3.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3.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3.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3.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3.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3.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3.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3.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3.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3.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3.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3.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3.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3.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3.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3.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3.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3.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3.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3.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3.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3.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3.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3.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3.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3.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3.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3.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3.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3.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3.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3.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3.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3.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3.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3.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3.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3.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3.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3.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3.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3.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3.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3.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3.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3.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3.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3.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3.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3.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3.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3.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3.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3.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3.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3.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3.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3.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3.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3.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3.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3.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3.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3.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3.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3.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3.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3.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3.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3.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3.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3.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3.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3.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3.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3.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3.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3.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3.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3.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3.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3.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3.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3.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3.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3.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3.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3.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3.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3.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3.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3.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3.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3.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3.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3.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3.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3.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3.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3.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3.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3.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3.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3.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3.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3.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3.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3.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3.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3.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3.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3.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3.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3.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3.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3.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3.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3.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3.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3.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3.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3.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3.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3.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3.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3.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3.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3.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3.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3.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3.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3.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3.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3.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3.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3.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3.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3.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3.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3.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3.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3.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3.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3.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3.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3.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3.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3.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3.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3.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3.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3.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3.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3.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3.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3.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3.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3.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3.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3.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3.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3.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3.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3.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3.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3.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3.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3.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3.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3.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3.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3.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3.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3.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3.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3.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3.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3.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3.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3.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3.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3.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3.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3.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3.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3.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3.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3.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3.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3.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3.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3.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3.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3.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3.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3.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3.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3.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3.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3.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3.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3.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3.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3.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3.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3.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3.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3.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3.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3.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3.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3.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3.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3.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3.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3.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3.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3.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3.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3.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3.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3.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3.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3.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3.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3.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3.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3.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3.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3.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3.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3.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3.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3.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3.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3.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3.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3.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3.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3.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3.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3.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3.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3.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3.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3.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3.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3.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3.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3.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3.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3.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3.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3.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3.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3.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3.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3.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3.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3.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3.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3.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3.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3.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3.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3.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3.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3.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3.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3.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3.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3.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3.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3.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3.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3.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3.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3.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3.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3.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3.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3.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3.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3.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3.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3.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3.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3.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3.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3.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3.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3.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3.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3.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3.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3.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3.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3.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3.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3.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3.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3.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3.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3.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3.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3.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3.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3.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3.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3.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3.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3.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3.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3.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3.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3.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3.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3.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3.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3.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3.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3.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3.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3.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3.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3.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3.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3.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3.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3.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3.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3.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3.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3.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3.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3.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3.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3.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3.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3.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3.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3.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3.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3.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3.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3.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3.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3.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3.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3.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0">
    <mergeCell ref="B10:E10"/>
    <mergeCell ref="B11:E11"/>
    <mergeCell ref="B12:G12"/>
    <mergeCell ref="B2:C2"/>
    <mergeCell ref="B3:C3"/>
    <mergeCell ref="B5:C5"/>
    <mergeCell ref="B6:C6"/>
    <mergeCell ref="B7:C7"/>
    <mergeCell ref="B8:C8"/>
    <mergeCell ref="B9:E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86"/>
    <col customWidth="1" min="2" max="26" width="11.43"/>
  </cols>
  <sheetData>
    <row r="1" ht="13.5" customHeight="1">
      <c r="A1" s="69" t="s">
        <v>1063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70">
        <f>'cálculo'!C22*'cálculo'!C23</f>
        <v>16.70806385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>
      <c r="A3" s="69" t="s">
        <v>1064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3.5" customHeight="1">
      <c r="A4" s="70">
        <f>'cálculo'!C21/'cálculo'!C22/'cálculo'!C23*100</f>
        <v>100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3.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3.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3.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3.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3.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3.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3.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3.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3.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3.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3.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3.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3.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3.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3.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3.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3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3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3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3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3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3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3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3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3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3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3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3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3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3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3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3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3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3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3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3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3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3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3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3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3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3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3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3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3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3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3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3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3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3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3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3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3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3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3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3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3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3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3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3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3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3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3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3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3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3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3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3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3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3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3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3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3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3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3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3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3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3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3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3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3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3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3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3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3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3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3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3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3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3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3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3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3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3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3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3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3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3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3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3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3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3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3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3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3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3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3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3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3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3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3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3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3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3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3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3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3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3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3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3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3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3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3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3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3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3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3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3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3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3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3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3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3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3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3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3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3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3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3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3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3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3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3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3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3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3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3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3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3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3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3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3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3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3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3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3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3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3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3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3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3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3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3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3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3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3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3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3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3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3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3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3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3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3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3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3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3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3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3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3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3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3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3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3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3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3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3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3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3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3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3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3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3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3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3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3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3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3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3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3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3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3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3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3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3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3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3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3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3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3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3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3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3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3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3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3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3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3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3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3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3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3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3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3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3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3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3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3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3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3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3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3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3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3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3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3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3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3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3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3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3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3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3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3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3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3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3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3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3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3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3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3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3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3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3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3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3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3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3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3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3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3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3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3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3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3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3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3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3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3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3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3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3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3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3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3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3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3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3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3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3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3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3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3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3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3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3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3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3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3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3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3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3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3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3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3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3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3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3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3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3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3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3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3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3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3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3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3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3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3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3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3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3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3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3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3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3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3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3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3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3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3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3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3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3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3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3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3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3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3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3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3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3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3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3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3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3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3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3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3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3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3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3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3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3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3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3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3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3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3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3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3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3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3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3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3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3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3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3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3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3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3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3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3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3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3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3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3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3.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3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3.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3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3.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3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3.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3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3.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3.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3.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3.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3.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3.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3.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3.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3.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3.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3.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3.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3.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3.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3.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3.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3.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3.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3.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3.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3.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3.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3.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3.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3.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3.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3.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3.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3.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3.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3.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3.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3.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3.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3.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3.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3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3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3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3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3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3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3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3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3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3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3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3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3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3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3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3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3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3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3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3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3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3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3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3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3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3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3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3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3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3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3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3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3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3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3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3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3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3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3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3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3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3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3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3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3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3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3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3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3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3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3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3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3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3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3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3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3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3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3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3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3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3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3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3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3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3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3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3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3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3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3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3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3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3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3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3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3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3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3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3.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3.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3.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3.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3.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3.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3.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3.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3.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3.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3.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3.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3.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3.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3.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3.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3.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3.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3.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3.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3.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3.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3.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3.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3.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3.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3.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3.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3.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3.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3.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3.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3.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3.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3.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3.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3.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3.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3.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3.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3.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3.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3.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3.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3.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3.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3.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3.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3.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3.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3.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3.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3.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3.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3.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3.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3.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3.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3.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3.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3.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3.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3.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3.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3.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3.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3.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3.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3.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3.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3.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3.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3.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3.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3.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3.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3.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3.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3.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3.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3.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3.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3.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3.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3.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3.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3.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3.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3.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3.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3.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3.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3.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3.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3.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3.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3.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3.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3.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3.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3.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3.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3.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3.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3.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3.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3.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3.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3.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3.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3.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3.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3.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3.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3.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3.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3.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3.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3.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3.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3.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3.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3.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3.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3.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3.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3.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3.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3.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3.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3.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3.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3.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3.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3.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3.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3.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3.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3.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3.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3.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3.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3.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3.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3.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3.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3.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3.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3.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3.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3.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3.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3.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3.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3.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3.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3.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3.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3.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3.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3.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3.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3.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3.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3.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3.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3.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3.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3.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3.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3.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3.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3.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3.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3.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3.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3.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3.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3.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3.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3.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3.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3.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3.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3.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3.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3.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3.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3.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3.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3.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3.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3.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3.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3.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3.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3.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3.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3.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3.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3.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3.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3.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3.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3.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3.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3.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3.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3.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3.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3.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3.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3.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3.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3.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3.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3.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3.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3.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3.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3.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3.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3.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3.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3.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3.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3.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3.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3.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3.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3.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3.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3.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3.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3.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3.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3.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3.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3.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3.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3.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3.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3.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3.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3.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3.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3.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3.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3.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3.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3.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3.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3.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3.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3.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3.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3.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3.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3.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3.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3.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3.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3.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3.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3.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3.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3.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3.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3.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3.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3.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3.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3.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3.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3.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3.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3.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3.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3.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3.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3.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3.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3.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3.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3.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3.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3.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3.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3.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3.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3.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3.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3.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3.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3.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3.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3.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3.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3.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3.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3.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3.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3.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3.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3.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3.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3.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3.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3.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3.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3.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3.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3.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3.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3.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3.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3.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3.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3.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3.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3.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3.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3.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3.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3.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3.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3.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3.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3.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3.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3.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3.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3.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3.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3.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3.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3.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3.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3.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3.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3.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3.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3.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3.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3.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3.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3.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3.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3.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3.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3.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3.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3.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3.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3.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3.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3.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3.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3.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3.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3.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3.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3.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3.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3.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3.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3.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3.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3.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3.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3.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3.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3.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3.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3.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3.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3.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3.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3.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3.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3.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3.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3.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3.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3.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3.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3.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3.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3.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3.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3.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3.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3.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3.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3.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3.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3.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3.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3.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3.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3.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3.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3.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3.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3.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3.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3.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3.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3.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3.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3.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3.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3.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3.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3.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3.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3.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3.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3.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3.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3.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3.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3.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3.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3.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3.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3.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3.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3.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3.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3.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3.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3.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3.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3.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3.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3.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3.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2018-01-22T17:55:28Z</dcterms:created>
  <dc:creator>Ed</dc:creator>
</cp:coreProperties>
</file>