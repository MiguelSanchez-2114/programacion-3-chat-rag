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bookViews>
    <workbookView xWindow="0" yWindow="0" windowWidth="23040" windowHeight="8496" firstSheet="2" activeTab="4"/>
  </bookViews>
  <sheets>
    <sheet name="Portada" sheetId="4" r:id="rId1"/>
    <sheet name="índice" sheetId="6" r:id="rId2"/>
    <sheet name="Actividades dividas por semana" sheetId="1" r:id="rId3"/>
    <sheet name="Concentrado de las actividades" sheetId="2" r:id="rId4"/>
    <sheet name="Suma" sheetId="3" r:id="rId5"/>
    <sheet name="Máximos" sheetId="7" r:id="rId6"/>
    <sheet name="Mínimos" sheetId="8" r:id="rId7"/>
    <sheet name="Promedio" sheetId="9" r:id="rId8"/>
  </sheets>
  <definedNames>
    <definedName name="SegmentaciónDeDatos_Semana">#N/A</definedName>
  </definedNames>
  <calcPr calcId="162913"/>
  <pivotCaches>
    <pivotCache cacheId="0" r:id="rId9"/>
  </pivotCaches>
  <extLst>
    <ext xmlns:x14="http://schemas.microsoft.com/office/spreadsheetml/2009/9/main" uri="{BBE1A952-AA13-448e-AADC-164F8A28A991}">
      <x14:slicerCaches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5" i="1" l="1"/>
</calcChain>
</file>

<file path=xl/sharedStrings.xml><?xml version="1.0" encoding="utf-8"?>
<sst xmlns="http://schemas.openxmlformats.org/spreadsheetml/2006/main" count="288" uniqueCount="81">
  <si>
    <t>Registro semanal de actividades</t>
  </si>
  <si>
    <t>Fecha: 22/04/2026</t>
  </si>
  <si>
    <t>Profesor: EDGAR GONZALO COSSIO FRANCO                                                                                        Materia: Ingeniería de software</t>
  </si>
  <si>
    <t xml:space="preserve">Estudiante: Andrea Jaqueline Soriano Romo                                                                                                                                                                         </t>
  </si>
  <si>
    <t>Fecha: 13/04/2026 al 19/04/2026</t>
  </si>
  <si>
    <t>Fecha</t>
  </si>
  <si>
    <t>Comienzo</t>
  </si>
  <si>
    <t>Fin</t>
  </si>
  <si>
    <t>Tiempo de interrupción</t>
  </si>
  <si>
    <t>Tiempo</t>
  </si>
  <si>
    <t>Actividad</t>
  </si>
  <si>
    <t>Comentarios</t>
  </si>
  <si>
    <t>C</t>
  </si>
  <si>
    <t>U</t>
  </si>
  <si>
    <t>Clase </t>
  </si>
  <si>
    <t>c</t>
  </si>
  <si>
    <t>Kick off</t>
  </si>
  <si>
    <t>NA</t>
  </si>
  <si>
    <t>Fecha: 20/04/2026 al 26/04/2026</t>
  </si>
  <si>
    <t>RF y RNF</t>
  </si>
  <si>
    <t>Definir tabla de requerimientos</t>
  </si>
  <si>
    <t>Se establecen los RF</t>
  </si>
  <si>
    <t>Asignación de RF por persona</t>
  </si>
  <si>
    <t>Se asignan </t>
  </si>
  <si>
    <t>Fecha: 27/04/2026 al 03/05/2026</t>
  </si>
  <si>
    <t>Elaboración de TDCU de RF 3 al 8</t>
  </si>
  <si>
    <t>Comparto la TDCU del RF 3 al 8 para que cada integrante la pase a draw io y comience sus diagramas</t>
  </si>
  <si>
    <t>Elaboración de TDCU de RF3</t>
  </si>
  <si>
    <t>Elaboración de TDCU de RF4</t>
  </si>
  <si>
    <t>Fecha: 04/05/2026 al 10/05/2026</t>
  </si>
  <si>
    <t>Realizar diagramas del RF08</t>
  </si>
  <si>
    <t>Fecha: 11/05/2026 al 17/05/2026</t>
  </si>
  <si>
    <t>Llenar todo el IEE830</t>
  </si>
  <si>
    <t>Se finaliza</t>
  </si>
  <si>
    <t>Semana 1</t>
  </si>
  <si>
    <t>Semana 2</t>
  </si>
  <si>
    <t>Semana 3</t>
  </si>
  <si>
    <t>Semana 4</t>
  </si>
  <si>
    <t>Semana 5</t>
  </si>
  <si>
    <t>Ver los PSP de todos</t>
  </si>
  <si>
    <t>Se revisan y se suben al git</t>
  </si>
  <si>
    <t>Elaboración del project libre</t>
  </si>
  <si>
    <t>Elaboración de planilla de cuaderno de ingeniería y de PSP</t>
  </si>
  <si>
    <t>Elaboración de planilla de IEE830</t>
  </si>
  <si>
    <t>Se realiza diagrama de clases</t>
  </si>
  <si>
    <t>Diagrama de clases del RF 03, RF 04 Y RF05</t>
  </si>
  <si>
    <t>Se realiza diagrama de despliegue</t>
  </si>
  <si>
    <t>Es para todos los RF</t>
  </si>
  <si>
    <t>Se termina RF08 y RF05</t>
  </si>
  <si>
    <t>Elaboración de TDCU de RF05 y RF08</t>
  </si>
  <si>
    <t>Realizar diagramas del RF05</t>
  </si>
  <si>
    <t>Realizar diagramas del RF 03 y RF04</t>
  </si>
  <si>
    <t>Etiquetas de fila</t>
  </si>
  <si>
    <t>Total general</t>
  </si>
  <si>
    <t>Etiquetas de columna</t>
  </si>
  <si>
    <t>Suma de Tiempo</t>
  </si>
  <si>
    <t>Máx. de Tiempo</t>
  </si>
  <si>
    <t>Semana</t>
  </si>
  <si>
    <t>abr</t>
  </si>
  <si>
    <t>Mín. de Tiempo</t>
  </si>
  <si>
    <t>Promedio de Tiempo</t>
  </si>
  <si>
    <t>Máximos</t>
  </si>
  <si>
    <t>Mínimos</t>
  </si>
  <si>
    <t>Promedio</t>
  </si>
  <si>
    <t>Suma</t>
  </si>
  <si>
    <t>Cuaderno de Ingeniería</t>
  </si>
  <si>
    <t>Universidad de Guadalajara</t>
  </si>
  <si>
    <t>Nombre del Ingeniero</t>
  </si>
  <si>
    <t>Teléfono/Correo electrónico</t>
  </si>
  <si>
    <t>Fecha de cierre</t>
  </si>
  <si>
    <t>Andrea Jaqueline Soriano Romo</t>
  </si>
  <si>
    <t xml:space="preserve">Fecha de apertura: </t>
  </si>
  <si>
    <t>andrea.soriano6446@alumnos.udg.mx</t>
  </si>
  <si>
    <t xml:space="preserve">Contenido de cuadernos de Ingeniería </t>
  </si>
  <si>
    <t>Página</t>
  </si>
  <si>
    <t>Temas</t>
  </si>
  <si>
    <t>Fechas</t>
  </si>
  <si>
    <t>Actividades divididas por semana</t>
  </si>
  <si>
    <t>Concentrado de las actividades</t>
  </si>
  <si>
    <t xml:space="preserve">Resumen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</si>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</sst>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5">
    <xf numFmtId="0" fontId="0" fillId="0" borderId="0" xfId="0"/>
    <xf numFmtId="14" fontId="0" fillId="0" borderId="4" xfId="0" applyNumberFormat="1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vertical="center"/>
    </xf>
    <xf numFmtId="0" fontId="6" fillId="2" borderId="0" xfId="0" applyFont="1" applyFill="1"/>
    <xf numFmtId="0" fontId="6" fillId="0" borderId="0" xfId="0" applyFont="1"/>
    <xf numFmtId="0" fontId="7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 wrapText="1"/>
    </xf>
    <xf numFmtId="20" fontId="5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14" fontId="5" fillId="0" borderId="0" xfId="0" applyNumberFormat="1" applyFont="1" applyBorder="1" applyAlignment="1">
      <alignment vertical="center" wrapText="1"/>
    </xf>
    <xf numFmtId="20" fontId="5" fillId="0" borderId="0" xfId="0" applyNumberFormat="1" applyFont="1" applyBorder="1" applyAlignment="1">
      <alignment vertical="center" wrapText="1"/>
    </xf>
    <xf numFmtId="0" fontId="4" fillId="0" borderId="0" xfId="0" applyFont="1" applyBorder="1" applyAlignment="1">
      <alignment vertical="top" wrapText="1"/>
    </xf>
    <xf numFmtId="0" fontId="5" fillId="0" borderId="0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2" borderId="0" xfId="0" applyFont="1" applyFill="1"/>
    <xf numFmtId="20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14" fontId="5" fillId="0" borderId="2" xfId="0" applyNumberFormat="1" applyFont="1" applyBorder="1" applyAlignment="1">
      <alignment vertical="center" wrapText="1"/>
    </xf>
    <xf numFmtId="20" fontId="5" fillId="0" borderId="2" xfId="0" applyNumberFormat="1" applyFont="1" applyBorder="1" applyAlignment="1">
      <alignment vertical="center" wrapText="1"/>
    </xf>
    <xf numFmtId="0" fontId="4" fillId="0" borderId="2" xfId="0" applyFont="1" applyBorder="1" applyAlignment="1">
      <alignment vertical="top" wrapText="1"/>
    </xf>
    <xf numFmtId="0" fontId="4" fillId="0" borderId="5" xfId="0" applyFont="1" applyBorder="1"/>
    <xf numFmtId="0" fontId="5" fillId="0" borderId="2" xfId="0" applyNumberFormat="1" applyFont="1" applyBorder="1" applyAlignment="1">
      <alignment vertical="center" wrapText="1"/>
    </xf>
    <xf numFmtId="14" fontId="5" fillId="0" borderId="6" xfId="0" applyNumberFormat="1" applyFont="1" applyBorder="1" applyAlignment="1">
      <alignment vertical="center" wrapText="1"/>
    </xf>
    <xf numFmtId="20" fontId="5" fillId="0" borderId="6" xfId="0" applyNumberFormat="1" applyFont="1" applyBorder="1" applyAlignment="1">
      <alignment vertical="center" wrapText="1"/>
    </xf>
    <xf numFmtId="0" fontId="4" fillId="0" borderId="6" xfId="0" applyFont="1" applyBorder="1" applyAlignment="1">
      <alignment vertical="top" wrapText="1"/>
    </xf>
    <xf numFmtId="0" fontId="5" fillId="0" borderId="6" xfId="0" applyFont="1" applyBorder="1" applyAlignment="1">
      <alignment vertical="center" wrapText="1"/>
    </xf>
    <xf numFmtId="0" fontId="5" fillId="0" borderId="6" xfId="0" applyNumberFormat="1" applyFont="1" applyBorder="1" applyAlignment="1">
      <alignment vertical="center" wrapText="1"/>
    </xf>
    <xf numFmtId="0" fontId="5" fillId="0" borderId="1" xfId="0" applyNumberFormat="1" applyFont="1" applyBorder="1" applyAlignment="1">
      <alignment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/>
    <xf numFmtId="0" fontId="4" fillId="0" borderId="1" xfId="0" applyNumberFormat="1" applyFont="1" applyBorder="1" applyAlignment="1">
      <alignment vertical="top" wrapText="1"/>
    </xf>
    <xf numFmtId="0" fontId="4" fillId="0" borderId="0" xfId="0" applyNumberFormat="1" applyFont="1"/>
    <xf numFmtId="0" fontId="5" fillId="0" borderId="0" xfId="0" applyNumberFormat="1" applyFont="1" applyBorder="1" applyAlignment="1">
      <alignment vertical="center" wrapText="1"/>
    </xf>
    <xf numFmtId="0" fontId="4" fillId="0" borderId="1" xfId="0" applyNumberFormat="1" applyFont="1" applyBorder="1" applyAlignment="1">
      <alignment vertical="center" wrapText="1"/>
    </xf>
    <xf numFmtId="0" fontId="4" fillId="0" borderId="0" xfId="0" applyNumberFormat="1" applyFont="1" applyBorder="1" applyAlignment="1">
      <alignment vertical="top" wrapText="1"/>
    </xf>
    <xf numFmtId="0" fontId="4" fillId="0" borderId="2" xfId="0" applyNumberFormat="1" applyFont="1" applyBorder="1" applyAlignment="1">
      <alignment vertical="top" wrapText="1"/>
    </xf>
    <xf numFmtId="0" fontId="4" fillId="0" borderId="6" xfId="0" applyNumberFormat="1" applyFont="1" applyBorder="1" applyAlignment="1">
      <alignment vertical="top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Fill="1"/>
    <xf numFmtId="0" fontId="5" fillId="0" borderId="10" xfId="0" applyFont="1" applyBorder="1" applyAlignment="1">
      <alignment vertical="center" wrapText="1"/>
    </xf>
    <xf numFmtId="14" fontId="5" fillId="0" borderId="8" xfId="0" applyNumberFormat="1" applyFont="1" applyBorder="1" applyAlignment="1">
      <alignment vertical="center" wrapText="1"/>
    </xf>
    <xf numFmtId="0" fontId="4" fillId="0" borderId="0" xfId="0" applyFont="1" applyFill="1" applyBorder="1" applyAlignment="1">
      <alignment vertical="top" wrapText="1"/>
    </xf>
    <xf numFmtId="0" fontId="9" fillId="0" borderId="0" xfId="0" applyFont="1"/>
    <xf numFmtId="14" fontId="5" fillId="0" borderId="10" xfId="0" applyNumberFormat="1" applyFont="1" applyBorder="1" applyAlignment="1">
      <alignment vertical="center" wrapText="1"/>
    </xf>
    <xf numFmtId="14" fontId="5" fillId="0" borderId="11" xfId="0" applyNumberFormat="1" applyFont="1" applyBorder="1" applyAlignment="1">
      <alignment vertical="center" wrapText="1"/>
    </xf>
    <xf numFmtId="0" fontId="0" fillId="0" borderId="13" xfId="0" applyBorder="1"/>
    <xf numFmtId="0" fontId="1" fillId="0" borderId="0" xfId="0" applyFont="1"/>
    <xf numFmtId="0" fontId="1" fillId="0" borderId="0" xfId="0" applyFont="1" applyAlignment="1"/>
    <xf numFmtId="0" fontId="1" fillId="0" borderId="12" xfId="0" applyFont="1" applyBorder="1" applyAlignment="1"/>
    <xf numFmtId="14" fontId="1" fillId="0" borderId="12" xfId="0" applyNumberFormat="1" applyFont="1" applyBorder="1" applyAlignment="1">
      <alignment horizontal="center"/>
    </xf>
    <xf numFmtId="0" fontId="8" fillId="0" borderId="13" xfId="1" applyBorder="1"/>
    <xf numFmtId="14" fontId="10" fillId="0" borderId="0" xfId="0" applyNumberFormat="1" applyFont="1"/>
    <xf numFmtId="0" fontId="0" fillId="0" borderId="12" xfId="0" applyFont="1" applyBorder="1" applyAlignment="1"/>
    <xf numFmtId="0" fontId="2" fillId="0" borderId="4" xfId="0" applyFont="1" applyBorder="1"/>
    <xf numFmtId="0" fontId="8" fillId="0" borderId="4" xfId="1" applyBorder="1"/>
    <xf numFmtId="0" fontId="1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2" xfId="0" applyNumberFormat="1" applyFont="1" applyBorder="1" applyAlignment="1">
      <alignment vertical="center" wrapText="1"/>
    </xf>
    <xf numFmtId="0" fontId="5" fillId="0" borderId="3" xfId="0" applyNumberFormat="1" applyFont="1" applyBorder="1" applyAlignment="1">
      <alignment vertical="center" wrapText="1"/>
    </xf>
    <xf numFmtId="0" fontId="4" fillId="0" borderId="0" xfId="0" applyFont="1" applyFill="1" applyAlignment="1">
      <alignment horizontal="center"/>
    </xf>
    <xf numFmtId="0" fontId="5" fillId="0" borderId="9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19050</xdr:rowOff>
    </xdr:from>
    <xdr:to>
      <xdr:col>0</xdr:col>
      <xdr:colOff>857250</xdr:colOff>
      <xdr:row>4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48A0476-3814-4362-8D28-4FDFF98DF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050"/>
          <a:ext cx="60960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409575</xdr:colOff>
      <xdr:row>0</xdr:row>
      <xdr:rowOff>95250</xdr:rowOff>
    </xdr:from>
    <xdr:to>
      <xdr:col>11</xdr:col>
      <xdr:colOff>314325</xdr:colOff>
      <xdr:row>3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243659-22EB-419D-94FC-ACF6C63D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15325" y="95250"/>
          <a:ext cx="1838325" cy="61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</xdr:colOff>
      <xdr:row>0</xdr:row>
      <xdr:rowOff>22860</xdr:rowOff>
    </xdr:from>
    <xdr:to>
      <xdr:col>1</xdr:col>
      <xdr:colOff>53340</xdr:colOff>
      <xdr:row>9</xdr:row>
      <xdr:rowOff>121920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man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n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240" y="22860"/>
              <a:ext cx="1325880" cy="1676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drea Jaqueline" refreshedDate="46159.749016435184" createdVersion="8" refreshedVersion="8" minRefreshableVersion="3" recordCount="20">
  <cacheSource type="worksheet">
    <worksheetSource ref="A1:J21" sheet="Concentrado de las actividades"/>
  </cacheSource>
  <cacheFields count="12">
    <cacheField name="Semana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Fecha" numFmtId="14">
      <sharedItems containsSemiMixedTypes="0" containsNonDate="0" containsDate="1" containsString="0" minDate="2026-04-13T00:00:00" maxDate="2026-05-18T00:00:00" count="16">
        <d v="2026-04-13T00:00:00"/>
        <d v="2026-04-15T00:00:00"/>
        <d v="2026-04-20T00:00:00"/>
        <d v="2026-04-22T00:00:00"/>
        <d v="2026-04-23T00:00:00"/>
        <d v="2026-04-27T00:00:00"/>
        <d v="2026-04-28T00:00:00"/>
        <d v="2026-04-29T00:00:00"/>
        <d v="2026-05-04T00:00:00"/>
        <d v="2026-05-06T00:00:00"/>
        <d v="2026-05-07T00:00:00"/>
        <d v="2026-05-08T00:00:00"/>
        <d v="2026-05-12T00:00:00"/>
        <d v="2026-05-13T00:00:00"/>
        <d v="2026-05-14T00:00:00"/>
        <d v="2026-05-17T00:00:00"/>
      </sharedItems>
      <fieldGroup par="11"/>
    </cacheField>
    <cacheField name="Comienzo" numFmtId="20">
      <sharedItems containsSemiMixedTypes="0" containsNonDate="0" containsDate="1" containsString="0" minDate="1899-12-30T01:30:00" maxDate="1899-12-30T20:30:00"/>
    </cacheField>
    <cacheField name="Fin" numFmtId="20">
      <sharedItems containsSemiMixedTypes="0" containsNonDate="0" containsDate="1" containsString="0" minDate="1899-12-30T02:30:00" maxDate="1899-12-30T23:50:00"/>
    </cacheField>
    <cacheField name="Tiempo de interrupción" numFmtId="0">
      <sharedItems containsString="0" containsBlank="1" containsNumber="1" containsInteger="1" minValue="20" maxValue="20"/>
    </cacheField>
    <cacheField name="Tiempo" numFmtId="0">
      <sharedItems containsSemiMixedTypes="0" containsString="0" containsNumber="1" containsInteger="1" minValue="30" maxValue="200"/>
    </cacheField>
    <cacheField name="Actividad" numFmtId="0">
      <sharedItems count="20">
        <s v="Clase "/>
        <s v="Kick off"/>
        <s v="Elaboración de planilla de cuaderno de ingeniería y de PSP"/>
        <s v="RF y RNF"/>
        <s v="Definir tabla de requerimientos"/>
        <s v="Asignación de RF por persona"/>
        <s v="Elaboración de TDCU de RF 3 al 8"/>
        <s v="Elaboración de TDCU de RF3"/>
        <s v="Elaboración de TDCU de RF4"/>
        <s v="Elaboración de TDCU de RF05 y RF08"/>
        <s v="Se realiza diagrama de clases"/>
        <s v="Realizar diagramas del RF 03 y RF04"/>
        <s v="Realizar diagramas del RF05"/>
        <s v="Realizar diagramas del RF08"/>
        <s v="Se termina RF08 y RF05"/>
        <s v="Se realiza diagrama de despliegue"/>
        <s v="Elaboración de planilla de IEE830"/>
        <s v="Llenar todo el IEE830"/>
        <s v="Ver los PSP de todos"/>
        <s v="Elaboración del project libre"/>
      </sharedItems>
    </cacheField>
    <cacheField name="Comentarios" numFmtId="0">
      <sharedItems containsBlank="1"/>
    </cacheField>
    <cacheField name="C" numFmtId="0">
      <sharedItems containsBlank="1"/>
    </cacheField>
    <cacheField name="U" numFmtId="0">
      <sharedItems containsString="0" containsBlank="1" containsNumber="1" containsInteger="1" minValue="1" maxValue="3"/>
    </cacheField>
    <cacheField name="Días (Fecha)" numFmtId="0" databaseField="0">
      <fieldGroup base="1">
        <rangePr groupBy="days" startDate="2026-04-13T00:00:00" endDate="2026-05-18T00:00:00"/>
        <groupItems count="368">
          <s v="&lt;13-04-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8-05-2026"/>
        </groupItems>
      </fieldGroup>
    </cacheField>
    <cacheField name="Meses (Fecha)" numFmtId="0" databaseField="0">
      <fieldGroup base="1">
        <rangePr groupBy="months" startDate="2026-04-13T00:00:00" endDate="2026-05-18T00:00:00"/>
        <groupItems count="14">
          <s v="&lt;13-04-2026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8-05-2026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d v="1899-12-30T17:20:00"/>
    <d v="1899-12-30T18:50:00"/>
    <m/>
    <n v="90"/>
    <x v="0"/>
    <m/>
    <s v="c"/>
    <n v="1"/>
  </r>
  <r>
    <x v="0"/>
    <x v="1"/>
    <d v="1899-12-30T17:00:00"/>
    <d v="1899-12-30T18:00:00"/>
    <m/>
    <n v="60"/>
    <x v="1"/>
    <s v="NA"/>
    <s v="c"/>
    <n v="1"/>
  </r>
  <r>
    <x v="1"/>
    <x v="2"/>
    <d v="1899-12-30T17:00:00"/>
    <d v="1899-12-30T18:30:00"/>
    <m/>
    <n v="90"/>
    <x v="2"/>
    <m/>
    <s v="c"/>
    <n v="1"/>
  </r>
  <r>
    <x v="1"/>
    <x v="2"/>
    <d v="1899-12-30T18:20:00"/>
    <d v="1899-12-30T20:00:00"/>
    <n v="20"/>
    <n v="120"/>
    <x v="3"/>
    <s v="NA"/>
    <m/>
    <m/>
  </r>
  <r>
    <x v="1"/>
    <x v="3"/>
    <d v="1899-12-30T17:20:00"/>
    <d v="1899-12-30T18:30:00"/>
    <m/>
    <n v="70"/>
    <x v="4"/>
    <s v="Se establecen los RF"/>
    <s v="c"/>
    <n v="1"/>
  </r>
  <r>
    <x v="1"/>
    <x v="4"/>
    <d v="1899-12-30T08:00:00"/>
    <d v="1899-12-30T09:00:00"/>
    <m/>
    <n v="60"/>
    <x v="5"/>
    <s v="Se asignan "/>
    <s v="c"/>
    <n v="1"/>
  </r>
  <r>
    <x v="2"/>
    <x v="5"/>
    <d v="1899-12-30T17:20:00"/>
    <d v="1899-12-30T19:00:00"/>
    <m/>
    <n v="100"/>
    <x v="6"/>
    <s v="Comparto la TDCU del RF 3 al 8 para que cada integrante la pase a draw io y comience sus diagramas"/>
    <s v="c"/>
    <n v="1"/>
  </r>
  <r>
    <x v="2"/>
    <x v="6"/>
    <d v="1899-12-30T01:30:00"/>
    <d v="1899-12-30T02:30:00"/>
    <m/>
    <n v="60"/>
    <x v="7"/>
    <m/>
    <s v="c"/>
    <n v="1"/>
  </r>
  <r>
    <x v="2"/>
    <x v="7"/>
    <d v="1899-12-30T01:30:00"/>
    <d v="1899-12-30T02:30:00"/>
    <m/>
    <n v="60"/>
    <x v="8"/>
    <m/>
    <s v="c"/>
    <n v="1"/>
  </r>
  <r>
    <x v="3"/>
    <x v="8"/>
    <d v="1899-12-30T18:00:00"/>
    <d v="1899-12-30T20:00:00"/>
    <m/>
    <n v="120"/>
    <x v="9"/>
    <m/>
    <s v="c"/>
    <n v="1"/>
  </r>
  <r>
    <x v="3"/>
    <x v="8"/>
    <d v="1899-12-30T20:30:00"/>
    <d v="1899-12-30T22:50:00"/>
    <m/>
    <n v="140"/>
    <x v="10"/>
    <s v="Diagrama de clases del RF 03, RF 04 Y RF05"/>
    <s v="c"/>
    <n v="3"/>
  </r>
  <r>
    <x v="3"/>
    <x v="9"/>
    <d v="1899-12-30T17:00:00"/>
    <d v="1899-12-30T20:00:00"/>
    <m/>
    <n v="180"/>
    <x v="11"/>
    <m/>
    <s v="c"/>
    <n v="1"/>
  </r>
  <r>
    <x v="3"/>
    <x v="10"/>
    <d v="1899-12-30T17:00:00"/>
    <d v="1899-12-30T20:00:00"/>
    <m/>
    <n v="180"/>
    <x v="12"/>
    <m/>
    <m/>
    <m/>
  </r>
  <r>
    <x v="3"/>
    <x v="11"/>
    <d v="1899-12-30T17:00:00"/>
    <d v="1899-12-30T20:00:00"/>
    <m/>
    <n v="180"/>
    <x v="13"/>
    <m/>
    <m/>
    <m/>
  </r>
  <r>
    <x v="4"/>
    <x v="12"/>
    <d v="1899-12-30T20:00:00"/>
    <d v="1899-12-30T23:00:00"/>
    <m/>
    <n v="180"/>
    <x v="14"/>
    <m/>
    <s v="c"/>
    <n v="2"/>
  </r>
  <r>
    <x v="4"/>
    <x v="12"/>
    <d v="1899-12-30T11:15:00"/>
    <d v="1899-12-30T11:45:00"/>
    <m/>
    <n v="30"/>
    <x v="15"/>
    <s v="Es para todos los RF"/>
    <s v="c"/>
    <n v="1"/>
  </r>
  <r>
    <x v="4"/>
    <x v="13"/>
    <d v="1899-12-30T20:00:00"/>
    <d v="1899-12-30T20:30:00"/>
    <m/>
    <n v="30"/>
    <x v="16"/>
    <m/>
    <s v="c"/>
    <n v="1"/>
  </r>
  <r>
    <x v="4"/>
    <x v="14"/>
    <d v="1899-12-30T20:30:00"/>
    <d v="1899-12-30T23:50:00"/>
    <m/>
    <n v="200"/>
    <x v="17"/>
    <s v="Se finaliza"/>
    <s v="c"/>
    <n v="1"/>
  </r>
  <r>
    <x v="4"/>
    <x v="15"/>
    <d v="1899-12-30T12:00:00"/>
    <d v="1899-12-30T15:00:00"/>
    <m/>
    <n v="180"/>
    <x v="18"/>
    <s v="Se revisan y se suben al git"/>
    <s v="c"/>
    <n v="1"/>
  </r>
  <r>
    <x v="4"/>
    <x v="15"/>
    <d v="1899-12-30T20:00:00"/>
    <d v="1899-12-30T23:00:00"/>
    <m/>
    <n v="180"/>
    <x v="19"/>
    <m/>
    <s v="c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15:V19" firstHeaderRow="1" firstDataRow="2" firstDataCol="1"/>
  <pivotFields count="12">
    <pivotField multipleItemSelectionAllowed="1"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20" showAll="0"/>
    <pivotField numFmtId="20" showAll="0"/>
    <pivotField showAll="0"/>
    <pivotField dataField="1" showAll="0"/>
    <pivotField axis="axisCol" showAll="0">
      <items count="21">
        <item x="5"/>
        <item x="0"/>
        <item x="4"/>
        <item x="2"/>
        <item x="16"/>
        <item x="6"/>
        <item x="9"/>
        <item x="7"/>
        <item x="8"/>
        <item x="19"/>
        <item x="1"/>
        <item x="17"/>
        <item x="11"/>
        <item x="12"/>
        <item x="13"/>
        <item x="3"/>
        <item x="10"/>
        <item x="15"/>
        <item x="14"/>
        <item x="18"/>
        <item t="default"/>
      </items>
    </pivotField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3">
    <i>
      <x v="4"/>
    </i>
    <i>
      <x v="5"/>
    </i>
    <i t="grand">
      <x/>
    </i>
  </rowItems>
  <colFields count="1">
    <field x="6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Suma de Tiempo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3:V7" firstHeaderRow="1" firstDataRow="2" firstDataCol="1"/>
  <pivotFields count="12">
    <pivotField multipleItemSelectionAllowed="1"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20" showAll="0"/>
    <pivotField numFmtId="20" showAll="0"/>
    <pivotField showAll="0"/>
    <pivotField dataField="1" showAll="0"/>
    <pivotField axis="axisCol" showAll="0">
      <items count="21">
        <item x="5"/>
        <item x="0"/>
        <item x="4"/>
        <item x="2"/>
        <item x="16"/>
        <item x="6"/>
        <item x="9"/>
        <item x="7"/>
        <item x="8"/>
        <item x="19"/>
        <item x="1"/>
        <item x="17"/>
        <item x="11"/>
        <item x="12"/>
        <item x="13"/>
        <item x="3"/>
        <item x="10"/>
        <item x="15"/>
        <item x="14"/>
        <item x="18"/>
        <item t="default"/>
      </items>
    </pivotField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3">
    <i>
      <x v="4"/>
    </i>
    <i>
      <x v="5"/>
    </i>
    <i t="grand">
      <x/>
    </i>
  </rowItems>
  <colFields count="1">
    <field x="6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Máx. de Tiempo" fld="5" subtotal="max" baseField="1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3:V7" firstHeaderRow="1" firstDataRow="2" firstDataCol="1"/>
  <pivotFields count="12">
    <pivotField multipleItemSelectionAllowed="1"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20" showAll="0"/>
    <pivotField numFmtId="20" showAll="0"/>
    <pivotField showAll="0"/>
    <pivotField dataField="1" showAll="0"/>
    <pivotField axis="axisCol" showAll="0">
      <items count="21">
        <item x="5"/>
        <item x="0"/>
        <item x="4"/>
        <item x="2"/>
        <item x="16"/>
        <item x="6"/>
        <item x="9"/>
        <item x="7"/>
        <item x="8"/>
        <item x="19"/>
        <item x="1"/>
        <item x="17"/>
        <item x="11"/>
        <item x="12"/>
        <item x="13"/>
        <item x="3"/>
        <item x="10"/>
        <item x="15"/>
        <item x="14"/>
        <item x="18"/>
        <item t="default"/>
      </items>
    </pivotField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3">
    <i>
      <x v="4"/>
    </i>
    <i>
      <x v="5"/>
    </i>
    <i t="grand">
      <x/>
    </i>
  </rowItems>
  <colFields count="1">
    <field x="6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Mín. de Tiempo" fld="5" subtotal="min" baseField="1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A3:V7" firstHeaderRow="1" firstDataRow="2" firstDataCol="1"/>
  <pivotFields count="12">
    <pivotField multipleItemSelectionAllowed="1" showAll="0">
      <items count="6">
        <item x="0"/>
        <item x="1"/>
        <item x="2"/>
        <item x="3"/>
        <item x="4"/>
        <item t="default"/>
      </items>
    </pivotField>
    <pivotField axis="axisRow"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20" showAll="0"/>
    <pivotField numFmtId="20" showAll="0"/>
    <pivotField showAll="0"/>
    <pivotField dataField="1" showAll="0"/>
    <pivotField axis="axisCol" showAll="0">
      <items count="21">
        <item x="5"/>
        <item x="0"/>
        <item x="4"/>
        <item x="2"/>
        <item x="16"/>
        <item x="6"/>
        <item x="9"/>
        <item x="7"/>
        <item x="8"/>
        <item x="19"/>
        <item x="1"/>
        <item x="17"/>
        <item x="11"/>
        <item x="12"/>
        <item x="13"/>
        <item x="3"/>
        <item x="10"/>
        <item x="15"/>
        <item x="14"/>
        <item x="18"/>
        <item t="default"/>
      </items>
    </pivotField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3">
    <i>
      <x v="4"/>
    </i>
    <i>
      <x v="5"/>
    </i>
    <i t="grand">
      <x/>
    </i>
  </rowItems>
  <colFields count="1">
    <field x="6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Promedio de Tiempo" fld="5" subtotal="average" baseField="1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Semana" sourceName="Semana">
  <pivotTables>
    <pivotTable tabId="3" name="TablaDinámica2"/>
    <pivotTable tabId="7" name="TablaDinámica3"/>
    <pivotTable tabId="8" name="TablaDinámica4"/>
    <pivotTable tabId="9" name="TablaDinámica5"/>
  </pivotTables>
  <data>
    <tabular pivotCacheId="1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mana" cache="SegmentaciónDeDatos_Semana" caption="Semana" rowHeight="23495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ndrea.soriano6446@alumnos.udg.m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H10" sqref="H10"/>
    </sheetView>
  </sheetViews>
  <sheetFormatPr baseColWidth="10" defaultRowHeight="13.8"/>
  <cols>
    <col min="2" max="2" width="19.296875" customWidth="1"/>
    <col min="4" max="4" width="15.69921875" customWidth="1"/>
  </cols>
  <sheetData>
    <row r="1" spans="1:5" ht="15" customHeight="1">
      <c r="A1" s="66" t="s">
        <v>65</v>
      </c>
      <c r="B1" s="66"/>
      <c r="C1" s="66"/>
      <c r="D1" s="66"/>
      <c r="E1" s="66"/>
    </row>
    <row r="2" spans="1:5" ht="15" customHeight="1">
      <c r="A2" s="66" t="s">
        <v>66</v>
      </c>
      <c r="B2" s="66"/>
      <c r="C2" s="66"/>
      <c r="D2" s="66"/>
      <c r="E2" s="66"/>
    </row>
    <row r="5" spans="1:5">
      <c r="A5" s="58" t="s">
        <v>67</v>
      </c>
      <c r="B5" s="58"/>
      <c r="C5" s="63" t="s">
        <v>70</v>
      </c>
      <c r="D5" s="59"/>
      <c r="E5" s="59"/>
    </row>
    <row r="6" spans="1:5">
      <c r="A6" s="58" t="s">
        <v>68</v>
      </c>
      <c r="B6" s="58"/>
      <c r="C6" s="61" t="s">
        <v>72</v>
      </c>
      <c r="D6" s="56"/>
      <c r="E6" s="56"/>
    </row>
    <row r="10" spans="1:5">
      <c r="B10" s="57" t="s">
        <v>71</v>
      </c>
      <c r="C10" s="60">
        <v>46132</v>
      </c>
      <c r="D10" s="57" t="s">
        <v>69</v>
      </c>
      <c r="E10" s="62">
        <v>46159</v>
      </c>
    </row>
  </sheetData>
  <mergeCells count="2">
    <mergeCell ref="A1:E1"/>
    <mergeCell ref="A2:E2"/>
  </mergeCells>
  <hyperlinks>
    <hyperlink ref="C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8"/>
  <sheetViews>
    <sheetView workbookViewId="0">
      <selection activeCell="F8" sqref="F8"/>
    </sheetView>
  </sheetViews>
  <sheetFormatPr baseColWidth="10" defaultRowHeight="13.8"/>
  <cols>
    <col min="3" max="3" width="39.59765625" customWidth="1"/>
  </cols>
  <sheetData>
    <row r="4" spans="2:4">
      <c r="B4" s="67" t="s">
        <v>73</v>
      </c>
      <c r="C4" s="67"/>
      <c r="D4" s="67"/>
    </row>
    <row r="5" spans="2:4">
      <c r="B5" s="64" t="s">
        <v>74</v>
      </c>
      <c r="C5" s="64" t="s">
        <v>75</v>
      </c>
      <c r="D5" s="64" t="s">
        <v>76</v>
      </c>
    </row>
    <row r="6" spans="2:4">
      <c r="B6" s="2">
        <v>3</v>
      </c>
      <c r="C6" s="65" t="s">
        <v>77</v>
      </c>
      <c r="D6" s="1">
        <v>46125</v>
      </c>
    </row>
    <row r="7" spans="2:4">
      <c r="B7" s="2">
        <v>4</v>
      </c>
      <c r="C7" s="65" t="s">
        <v>78</v>
      </c>
      <c r="D7" s="1">
        <v>46152</v>
      </c>
    </row>
    <row r="8" spans="2:4">
      <c r="B8" s="2">
        <v>5</v>
      </c>
      <c r="C8" s="65" t="s">
        <v>79</v>
      </c>
      <c r="D8" s="1">
        <v>46159</v>
      </c>
    </row>
  </sheetData>
  <mergeCells count="1">
    <mergeCell ref="B4:D4"/>
  </mergeCells>
  <hyperlinks>
    <hyperlink ref="C6" location="'Actividades dividas por semana'!A1" display="Actividades divididas por semana"/>
    <hyperlink ref="C7" location="'Concentrado de las actividades'!A1" display="Concentrado de las actividades"/>
    <hyperlink ref="C8" location="Resumen!A1" display="Resumen 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2"/>
  <sheetViews>
    <sheetView topLeftCell="A4" workbookViewId="0">
      <selection activeCell="A25" sqref="A25:I28"/>
    </sheetView>
  </sheetViews>
  <sheetFormatPr baseColWidth="10" defaultColWidth="11.3984375" defaultRowHeight="15"/>
  <cols>
    <col min="1" max="1" width="17.8984375" style="3" bestFit="1" customWidth="1"/>
    <col min="2" max="2" width="30.69921875" style="3" bestFit="1" customWidth="1"/>
    <col min="3" max="3" width="26.69921875" style="3" bestFit="1" customWidth="1"/>
    <col min="4" max="4" width="19.69921875" style="3" bestFit="1" customWidth="1"/>
    <col min="5" max="5" width="31.8984375" style="40" bestFit="1" customWidth="1"/>
    <col min="6" max="6" width="21.8984375" style="3" bestFit="1" customWidth="1"/>
    <col min="7" max="7" width="19.3984375" style="3" bestFit="1" customWidth="1"/>
    <col min="8" max="8" width="12.59765625" style="3" bestFit="1" customWidth="1"/>
    <col min="9" max="9" width="3.8984375" style="3" customWidth="1"/>
    <col min="10" max="16384" width="11.3984375" style="3"/>
  </cols>
  <sheetData>
    <row r="1" spans="1:13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3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3">
      <c r="A3" s="68"/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</row>
    <row r="5" spans="1:13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3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</row>
    <row r="7" spans="1:13">
      <c r="A7" s="3" t="s">
        <v>3</v>
      </c>
      <c r="J7" s="3" t="s">
        <v>1</v>
      </c>
    </row>
    <row r="9" spans="1:13">
      <c r="A9" s="4" t="s">
        <v>2</v>
      </c>
    </row>
    <row r="10" spans="1:13">
      <c r="A10" s="4"/>
    </row>
    <row r="11" spans="1:13" ht="15.6">
      <c r="A11" s="5" t="s">
        <v>34</v>
      </c>
      <c r="B11" s="6"/>
      <c r="C11" s="6"/>
    </row>
    <row r="12" spans="1:13" ht="15.6">
      <c r="A12" s="7" t="s">
        <v>4</v>
      </c>
      <c r="B12" s="5"/>
      <c r="C12" s="5"/>
    </row>
    <row r="13" spans="1:13" ht="15.6" thickBot="1">
      <c r="A13" s="8"/>
    </row>
    <row r="14" spans="1:13">
      <c r="A14" s="69" t="s">
        <v>5</v>
      </c>
      <c r="B14" s="69" t="s">
        <v>6</v>
      </c>
      <c r="C14" s="69" t="s">
        <v>7</v>
      </c>
      <c r="D14" s="69" t="s">
        <v>8</v>
      </c>
      <c r="E14" s="71" t="s">
        <v>9</v>
      </c>
      <c r="F14" s="69" t="s">
        <v>10</v>
      </c>
      <c r="G14" s="69" t="s">
        <v>11</v>
      </c>
      <c r="H14" s="9" t="s">
        <v>12</v>
      </c>
      <c r="I14" s="9" t="s">
        <v>13</v>
      </c>
    </row>
    <row r="15" spans="1:13" ht="15.6" thickBot="1">
      <c r="A15" s="70"/>
      <c r="B15" s="70"/>
      <c r="C15" s="70"/>
      <c r="D15" s="70"/>
      <c r="E15" s="72"/>
      <c r="F15" s="70"/>
      <c r="G15" s="70"/>
      <c r="H15" s="10"/>
      <c r="I15" s="10"/>
      <c r="J15" s="49"/>
      <c r="K15" s="73"/>
      <c r="L15" s="73"/>
      <c r="M15" s="73"/>
    </row>
    <row r="16" spans="1:13" ht="15.6" thickBot="1">
      <c r="A16" s="11">
        <v>46125</v>
      </c>
      <c r="B16" s="12">
        <v>0.72222222222222221</v>
      </c>
      <c r="C16" s="12">
        <v>0.78472222222222221</v>
      </c>
      <c r="D16" s="13"/>
      <c r="E16" s="34">
        <v>90</v>
      </c>
      <c r="F16" s="14" t="s">
        <v>14</v>
      </c>
      <c r="G16" s="13"/>
      <c r="H16" s="14" t="s">
        <v>15</v>
      </c>
      <c r="I16" s="13">
        <v>1</v>
      </c>
    </row>
    <row r="17" spans="1:9" ht="15.6" thickBot="1">
      <c r="A17" s="11">
        <v>46127</v>
      </c>
      <c r="B17" s="12">
        <v>0.70833333333333337</v>
      </c>
      <c r="C17" s="12">
        <v>0.75</v>
      </c>
      <c r="D17" s="13"/>
      <c r="E17" s="34">
        <v>60</v>
      </c>
      <c r="F17" s="14" t="s">
        <v>16</v>
      </c>
      <c r="G17" s="14" t="s">
        <v>17</v>
      </c>
      <c r="H17" s="14" t="s">
        <v>15</v>
      </c>
      <c r="I17" s="14">
        <v>1</v>
      </c>
    </row>
    <row r="18" spans="1:9">
      <c r="A18" s="15"/>
      <c r="B18" s="16"/>
      <c r="C18" s="16"/>
      <c r="D18" s="52"/>
      <c r="E18" s="41"/>
      <c r="F18" s="18"/>
      <c r="G18" s="18"/>
      <c r="H18" s="18"/>
      <c r="I18" s="18"/>
    </row>
    <row r="20" spans="1:9" ht="15.6">
      <c r="A20" s="5" t="s">
        <v>35</v>
      </c>
      <c r="B20" s="5"/>
      <c r="C20" s="5"/>
    </row>
    <row r="21" spans="1:9" ht="15.6">
      <c r="A21" s="7" t="s">
        <v>18</v>
      </c>
      <c r="B21" s="5"/>
      <c r="C21" s="5"/>
    </row>
    <row r="22" spans="1:9" ht="15.6" thickBot="1">
      <c r="A22" s="8"/>
    </row>
    <row r="23" spans="1:9">
      <c r="A23" s="69" t="s">
        <v>5</v>
      </c>
      <c r="B23" s="69" t="s">
        <v>6</v>
      </c>
      <c r="C23" s="69" t="s">
        <v>7</v>
      </c>
      <c r="D23" s="69" t="s">
        <v>8</v>
      </c>
      <c r="E23" s="71" t="s">
        <v>9</v>
      </c>
      <c r="F23" s="69" t="s">
        <v>10</v>
      </c>
      <c r="G23" s="69" t="s">
        <v>11</v>
      </c>
      <c r="H23" s="9" t="s">
        <v>12</v>
      </c>
      <c r="I23" s="9" t="s">
        <v>13</v>
      </c>
    </row>
    <row r="24" spans="1:9" ht="15.6" thickBot="1">
      <c r="A24" s="70"/>
      <c r="B24" s="70"/>
      <c r="C24" s="70"/>
      <c r="D24" s="70"/>
      <c r="E24" s="72"/>
      <c r="F24" s="70"/>
      <c r="G24" s="70"/>
      <c r="H24" s="10"/>
      <c r="I24" s="10"/>
    </row>
    <row r="25" spans="1:9" ht="48.75" customHeight="1" thickBot="1">
      <c r="A25" s="11">
        <v>46132</v>
      </c>
      <c r="B25" s="12">
        <v>0.70833333333333337</v>
      </c>
      <c r="C25" s="12">
        <v>0.77083333333333337</v>
      </c>
      <c r="D25" s="13"/>
      <c r="E25" s="42">
        <v>90</v>
      </c>
      <c r="F25" s="14" t="s">
        <v>42</v>
      </c>
      <c r="G25" s="13"/>
      <c r="H25" s="14" t="s">
        <v>15</v>
      </c>
      <c r="I25" s="19">
        <v>1</v>
      </c>
    </row>
    <row r="26" spans="1:9" ht="15.6" thickBot="1">
      <c r="A26" s="11">
        <v>46132</v>
      </c>
      <c r="B26" s="12">
        <v>0.76388888888888884</v>
      </c>
      <c r="C26" s="12">
        <v>0.83333333333333337</v>
      </c>
      <c r="D26" s="14">
        <v>20</v>
      </c>
      <c r="E26" s="34">
        <v>120</v>
      </c>
      <c r="F26" s="14" t="s">
        <v>19</v>
      </c>
      <c r="G26" s="14" t="s">
        <v>17</v>
      </c>
      <c r="H26" s="13"/>
      <c r="I26" s="14"/>
    </row>
    <row r="27" spans="1:9" ht="30.6" thickBot="1">
      <c r="A27" s="11">
        <v>46134</v>
      </c>
      <c r="B27" s="12">
        <v>0.72222222222222221</v>
      </c>
      <c r="C27" s="12">
        <v>0.77083333333333337</v>
      </c>
      <c r="D27" s="13"/>
      <c r="E27" s="42">
        <v>70</v>
      </c>
      <c r="F27" s="14" t="s">
        <v>20</v>
      </c>
      <c r="G27" s="14" t="s">
        <v>21</v>
      </c>
      <c r="H27" s="19" t="s">
        <v>15</v>
      </c>
      <c r="I27" s="14">
        <v>1</v>
      </c>
    </row>
    <row r="28" spans="1:9" ht="30.6" thickBot="1">
      <c r="A28" s="11">
        <v>46135</v>
      </c>
      <c r="B28" s="12">
        <v>0.33333333333333331</v>
      </c>
      <c r="C28" s="12">
        <v>0.375</v>
      </c>
      <c r="D28" s="13"/>
      <c r="E28" s="42">
        <v>60</v>
      </c>
      <c r="F28" s="14" t="s">
        <v>22</v>
      </c>
      <c r="G28" s="14" t="s">
        <v>23</v>
      </c>
      <c r="H28" s="14" t="s">
        <v>15</v>
      </c>
      <c r="I28" s="19">
        <v>1</v>
      </c>
    </row>
    <row r="31" spans="1:9" ht="15.6">
      <c r="A31" s="5" t="s">
        <v>36</v>
      </c>
    </row>
    <row r="32" spans="1:9" ht="15.6">
      <c r="A32" s="7" t="s">
        <v>24</v>
      </c>
      <c r="B32" s="20"/>
      <c r="C32" s="20"/>
    </row>
    <row r="33" spans="1:9" ht="15.6" thickBot="1">
      <c r="A33" s="8"/>
    </row>
    <row r="34" spans="1:9">
      <c r="A34" s="69" t="s">
        <v>5</v>
      </c>
      <c r="B34" s="69" t="s">
        <v>6</v>
      </c>
      <c r="C34" s="69" t="s">
        <v>7</v>
      </c>
      <c r="D34" s="69" t="s">
        <v>8</v>
      </c>
      <c r="E34" s="71" t="s">
        <v>9</v>
      </c>
      <c r="F34" s="69" t="s">
        <v>10</v>
      </c>
      <c r="G34" s="69" t="s">
        <v>11</v>
      </c>
      <c r="H34" s="9" t="s">
        <v>12</v>
      </c>
      <c r="I34" s="9" t="s">
        <v>13</v>
      </c>
    </row>
    <row r="35" spans="1:9" ht="23.25" customHeight="1" thickBot="1">
      <c r="A35" s="70"/>
      <c r="B35" s="70"/>
      <c r="C35" s="70"/>
      <c r="D35" s="70"/>
      <c r="E35" s="72"/>
      <c r="F35" s="70"/>
      <c r="G35" s="70"/>
      <c r="H35" s="10"/>
      <c r="I35" s="10"/>
    </row>
    <row r="36" spans="1:9" ht="65.25" customHeight="1" thickBot="1">
      <c r="A36" s="11">
        <v>46139</v>
      </c>
      <c r="B36" s="12">
        <v>0.72222222222222221</v>
      </c>
      <c r="C36" s="12">
        <v>0.79166666666666663</v>
      </c>
      <c r="D36" s="13"/>
      <c r="E36" s="42">
        <v>100</v>
      </c>
      <c r="F36" s="14" t="s">
        <v>25</v>
      </c>
      <c r="G36" s="14" t="s">
        <v>26</v>
      </c>
      <c r="H36" s="14" t="s">
        <v>15</v>
      </c>
      <c r="I36" s="19">
        <v>1</v>
      </c>
    </row>
    <row r="37" spans="1:9" ht="30.6" thickBot="1">
      <c r="A37" s="11">
        <v>46140</v>
      </c>
      <c r="B37" s="12">
        <v>6.25E-2</v>
      </c>
      <c r="C37" s="21">
        <v>0.10416666666666667</v>
      </c>
      <c r="D37" s="13"/>
      <c r="E37" s="39">
        <v>60</v>
      </c>
      <c r="F37" s="14" t="s">
        <v>27</v>
      </c>
      <c r="G37" s="13"/>
      <c r="H37" s="22" t="s">
        <v>15</v>
      </c>
      <c r="I37" s="23">
        <v>1</v>
      </c>
    </row>
    <row r="38" spans="1:9" ht="30.6" thickBot="1">
      <c r="A38" s="11">
        <v>46141</v>
      </c>
      <c r="B38" s="12">
        <v>6.25E-2</v>
      </c>
      <c r="C38" s="21">
        <v>0.10416666666666667</v>
      </c>
      <c r="D38" s="13"/>
      <c r="E38" s="39">
        <v>60</v>
      </c>
      <c r="F38" s="14" t="s">
        <v>28</v>
      </c>
      <c r="G38" s="13"/>
      <c r="H38" s="22" t="s">
        <v>15</v>
      </c>
      <c r="I38" s="23">
        <v>1</v>
      </c>
    </row>
    <row r="39" spans="1:9">
      <c r="A39" s="15"/>
      <c r="B39" s="18"/>
      <c r="C39" s="17"/>
      <c r="D39" s="17"/>
      <c r="E39" s="43"/>
      <c r="F39" s="18"/>
      <c r="G39" s="17"/>
      <c r="H39" s="18"/>
      <c r="I39" s="17"/>
    </row>
    <row r="41" spans="1:9" ht="15.6">
      <c r="A41" s="5" t="s">
        <v>37</v>
      </c>
    </row>
    <row r="42" spans="1:9" ht="15.6">
      <c r="A42" s="7" t="s">
        <v>29</v>
      </c>
      <c r="B42" s="5"/>
      <c r="C42" s="5"/>
    </row>
    <row r="43" spans="1:9" ht="15.6" thickBot="1">
      <c r="A43" s="8"/>
    </row>
    <row r="44" spans="1:9" ht="34.5" customHeight="1">
      <c r="A44" s="69" t="s">
        <v>5</v>
      </c>
      <c r="B44" s="69" t="s">
        <v>6</v>
      </c>
      <c r="C44" s="69" t="s">
        <v>7</v>
      </c>
      <c r="D44" s="69" t="s">
        <v>8</v>
      </c>
      <c r="E44" s="71" t="s">
        <v>9</v>
      </c>
      <c r="F44" s="69" t="s">
        <v>10</v>
      </c>
      <c r="G44" s="69" t="s">
        <v>11</v>
      </c>
      <c r="H44" s="9" t="s">
        <v>12</v>
      </c>
      <c r="I44" s="9" t="s">
        <v>13</v>
      </c>
    </row>
    <row r="45" spans="1:9" ht="0.75" customHeight="1" thickBot="1">
      <c r="A45" s="70"/>
      <c r="B45" s="70"/>
      <c r="C45" s="70"/>
      <c r="D45" s="70"/>
      <c r="E45" s="72"/>
      <c r="F45" s="70"/>
      <c r="G45" s="70"/>
      <c r="H45" s="10"/>
      <c r="I45" s="10"/>
    </row>
    <row r="46" spans="1:9" ht="30.6" thickBot="1">
      <c r="A46" s="11">
        <v>46146</v>
      </c>
      <c r="B46" s="12">
        <v>0.75</v>
      </c>
      <c r="C46" s="12">
        <v>0.83333333333333337</v>
      </c>
      <c r="D46" s="13"/>
      <c r="E46" s="34">
        <v>120</v>
      </c>
      <c r="F46" s="14" t="s">
        <v>49</v>
      </c>
      <c r="G46" s="13"/>
      <c r="H46" s="14" t="s">
        <v>12</v>
      </c>
      <c r="I46" s="13">
        <v>1</v>
      </c>
    </row>
    <row r="47" spans="1:9" ht="45.6" thickBot="1">
      <c r="A47" s="11">
        <v>46146</v>
      </c>
      <c r="B47" s="12">
        <v>0.85416666666666663</v>
      </c>
      <c r="C47" s="12">
        <v>0.95138888888888884</v>
      </c>
      <c r="D47" s="13"/>
      <c r="E47" s="34">
        <v>140</v>
      </c>
      <c r="F47" s="14" t="s">
        <v>44</v>
      </c>
      <c r="G47" s="13" t="s">
        <v>45</v>
      </c>
      <c r="H47" s="14" t="s">
        <v>12</v>
      </c>
      <c r="I47" s="19">
        <v>3</v>
      </c>
    </row>
    <row r="48" spans="1:9" ht="30.6" thickBot="1">
      <c r="A48" s="11">
        <v>46148</v>
      </c>
      <c r="B48" s="12">
        <v>0.70833333333333337</v>
      </c>
      <c r="C48" s="12">
        <v>0.83333333333333337</v>
      </c>
      <c r="D48" s="13"/>
      <c r="E48" s="34">
        <v>180</v>
      </c>
      <c r="F48" s="14" t="s">
        <v>51</v>
      </c>
      <c r="G48" s="13"/>
      <c r="H48" s="14" t="s">
        <v>12</v>
      </c>
      <c r="I48" s="13">
        <v>1</v>
      </c>
    </row>
    <row r="49" spans="1:9" ht="30.6" thickBot="1">
      <c r="A49" s="11">
        <v>46149</v>
      </c>
      <c r="B49" s="12">
        <v>0.70833333333333337</v>
      </c>
      <c r="C49" s="12">
        <v>0.83333333333333337</v>
      </c>
      <c r="D49" s="13"/>
      <c r="E49" s="34">
        <v>180</v>
      </c>
      <c r="F49" s="14" t="s">
        <v>50</v>
      </c>
      <c r="G49" s="13"/>
      <c r="H49" s="14"/>
      <c r="I49" s="13"/>
    </row>
    <row r="50" spans="1:9" ht="30.6" thickBot="1">
      <c r="A50" s="11">
        <v>46150</v>
      </c>
      <c r="B50" s="12">
        <v>0.70833333333333337</v>
      </c>
      <c r="C50" s="12">
        <v>0.83333333333333337</v>
      </c>
      <c r="D50" s="13"/>
      <c r="E50" s="34">
        <v>180</v>
      </c>
      <c r="F50" s="14" t="s">
        <v>30</v>
      </c>
      <c r="G50" s="13"/>
      <c r="H50" s="14"/>
      <c r="I50" s="13"/>
    </row>
    <row r="51" spans="1:9">
      <c r="A51" s="15"/>
      <c r="B51" s="16"/>
      <c r="C51" s="16"/>
      <c r="D51" s="17"/>
      <c r="E51" s="41"/>
      <c r="F51" s="18"/>
      <c r="G51" s="17"/>
      <c r="H51" s="18"/>
      <c r="I51" s="17"/>
    </row>
    <row r="52" spans="1:9">
      <c r="A52" s="15"/>
      <c r="B52" s="16"/>
      <c r="C52" s="16"/>
      <c r="D52" s="17"/>
      <c r="E52" s="41"/>
      <c r="F52" s="18"/>
      <c r="G52" s="17"/>
      <c r="H52" s="18"/>
      <c r="I52" s="17"/>
    </row>
    <row r="54" spans="1:9" ht="15.6">
      <c r="A54" s="7" t="s">
        <v>38</v>
      </c>
    </row>
    <row r="55" spans="1:9" ht="15.6">
      <c r="A55" s="7" t="s">
        <v>31</v>
      </c>
      <c r="B55" s="5"/>
      <c r="C55" s="5"/>
    </row>
    <row r="56" spans="1:9" ht="15.6" thickBot="1">
      <c r="A56" s="8"/>
    </row>
    <row r="57" spans="1:9">
      <c r="A57" s="69" t="s">
        <v>5</v>
      </c>
      <c r="B57" s="69" t="s">
        <v>6</v>
      </c>
      <c r="C57" s="69" t="s">
        <v>7</v>
      </c>
      <c r="D57" s="69" t="s">
        <v>8</v>
      </c>
      <c r="E57" s="71" t="s">
        <v>9</v>
      </c>
      <c r="F57" s="69" t="s">
        <v>10</v>
      </c>
      <c r="G57" s="69" t="s">
        <v>11</v>
      </c>
      <c r="H57" s="9" t="s">
        <v>12</v>
      </c>
      <c r="I57" s="9" t="s">
        <v>13</v>
      </c>
    </row>
    <row r="58" spans="1:9" ht="20.25" customHeight="1" thickBot="1">
      <c r="A58" s="70"/>
      <c r="B58" s="70"/>
      <c r="C58" s="70"/>
      <c r="D58" s="70"/>
      <c r="E58" s="72"/>
      <c r="F58" s="70"/>
      <c r="G58" s="74"/>
      <c r="H58" s="10"/>
      <c r="I58" s="10"/>
    </row>
    <row r="59" spans="1:9" ht="30.6" thickBot="1">
      <c r="A59" s="11">
        <v>46154</v>
      </c>
      <c r="B59" s="21">
        <v>0.83333333333333337</v>
      </c>
      <c r="C59" s="21">
        <v>0.95833333333333337</v>
      </c>
      <c r="D59" s="13"/>
      <c r="E59" s="39">
        <v>180</v>
      </c>
      <c r="F59" s="35" t="s">
        <v>48</v>
      </c>
      <c r="G59" s="38"/>
      <c r="H59" s="36" t="s">
        <v>12</v>
      </c>
      <c r="I59" s="13">
        <v>2</v>
      </c>
    </row>
    <row r="60" spans="1:9" ht="30.6" thickBot="1">
      <c r="A60" s="11">
        <v>46154</v>
      </c>
      <c r="B60" s="21">
        <v>0.46875</v>
      </c>
      <c r="C60" s="21">
        <v>0.48958333333333331</v>
      </c>
      <c r="D60" s="13"/>
      <c r="E60" s="39">
        <v>30</v>
      </c>
      <c r="F60" s="35" t="s">
        <v>46</v>
      </c>
      <c r="G60" s="38" t="s">
        <v>47</v>
      </c>
      <c r="H60" s="36" t="s">
        <v>12</v>
      </c>
      <c r="I60" s="13">
        <v>1</v>
      </c>
    </row>
    <row r="61" spans="1:9" ht="30.6" thickBot="1">
      <c r="A61" s="11">
        <v>46155</v>
      </c>
      <c r="B61" s="12">
        <v>0.83333333333333337</v>
      </c>
      <c r="C61" s="12">
        <v>0.85416666666666663</v>
      </c>
      <c r="D61" s="13"/>
      <c r="E61" s="39">
        <v>30</v>
      </c>
      <c r="F61" s="14" t="s">
        <v>43</v>
      </c>
      <c r="G61" s="37"/>
      <c r="H61" s="14" t="s">
        <v>12</v>
      </c>
      <c r="I61" s="13">
        <v>1</v>
      </c>
    </row>
    <row r="62" spans="1:9" ht="15.6" thickBot="1">
      <c r="A62" s="24">
        <v>46156</v>
      </c>
      <c r="B62" s="25">
        <v>0.85416666666666663</v>
      </c>
      <c r="C62" s="25">
        <v>0.99305555555555547</v>
      </c>
      <c r="D62" s="26"/>
      <c r="E62" s="44">
        <v>200</v>
      </c>
      <c r="F62" s="9" t="s">
        <v>32</v>
      </c>
      <c r="G62" s="9" t="s">
        <v>33</v>
      </c>
      <c r="H62" s="9" t="s">
        <v>12</v>
      </c>
      <c r="I62" s="26">
        <v>1</v>
      </c>
    </row>
    <row r="63" spans="1:9" ht="30.6" thickBot="1">
      <c r="A63" s="11">
        <v>46159</v>
      </c>
      <c r="B63" s="12">
        <v>0.5</v>
      </c>
      <c r="C63" s="12">
        <v>0.625</v>
      </c>
      <c r="D63" s="13"/>
      <c r="E63" s="39">
        <v>180</v>
      </c>
      <c r="F63" s="14" t="s">
        <v>39</v>
      </c>
      <c r="G63" s="13" t="s">
        <v>40</v>
      </c>
      <c r="H63" s="14" t="s">
        <v>12</v>
      </c>
      <c r="I63" s="27">
        <v>1</v>
      </c>
    </row>
    <row r="64" spans="1:9" ht="30.6" thickBot="1">
      <c r="A64" s="29">
        <v>46159</v>
      </c>
      <c r="B64" s="30">
        <v>0.83333333333333337</v>
      </c>
      <c r="C64" s="30">
        <v>0.95833333333333337</v>
      </c>
      <c r="D64" s="31"/>
      <c r="E64" s="45">
        <v>180</v>
      </c>
      <c r="F64" s="32" t="s">
        <v>41</v>
      </c>
      <c r="G64" s="32"/>
      <c r="H64" s="32" t="s">
        <v>12</v>
      </c>
      <c r="I64" s="33">
        <v>1</v>
      </c>
    </row>
    <row r="65" spans="5:5">
      <c r="E65" s="40">
        <f>SUM(E59:E64)</f>
        <v>800</v>
      </c>
    </row>
    <row r="67" spans="5:5">
      <c r="E67" s="3"/>
    </row>
    <row r="68" spans="5:5">
      <c r="E68" s="3"/>
    </row>
    <row r="69" spans="5:5">
      <c r="E69" s="3"/>
    </row>
    <row r="70" spans="5:5">
      <c r="E70" s="3"/>
    </row>
    <row r="71" spans="5:5">
      <c r="E71" s="3"/>
    </row>
    <row r="72" spans="5:5">
      <c r="E72" s="3"/>
    </row>
    <row r="73" spans="5:5">
      <c r="E73" s="3"/>
    </row>
    <row r="74" spans="5:5">
      <c r="E74" s="3"/>
    </row>
    <row r="75" spans="5:5">
      <c r="E75" s="3"/>
    </row>
    <row r="76" spans="5:5">
      <c r="E76" s="3"/>
    </row>
    <row r="77" spans="5:5">
      <c r="E77" s="3"/>
    </row>
    <row r="78" spans="5:5">
      <c r="E78" s="3"/>
    </row>
    <row r="79" spans="5:5">
      <c r="E79" s="3"/>
    </row>
    <row r="80" spans="5:5">
      <c r="E80" s="3"/>
    </row>
    <row r="81" spans="1:5">
      <c r="E81" s="3"/>
    </row>
    <row r="82" spans="1:5">
      <c r="E82" s="3"/>
    </row>
    <row r="83" spans="1:5">
      <c r="E83" s="3"/>
    </row>
    <row r="84" spans="1:5">
      <c r="A84"/>
      <c r="B84"/>
      <c r="C84"/>
    </row>
    <row r="85" spans="1:5">
      <c r="A85"/>
      <c r="B85"/>
      <c r="C85"/>
    </row>
    <row r="86" spans="1:5">
      <c r="A86"/>
      <c r="B86"/>
      <c r="C86"/>
    </row>
    <row r="87" spans="1:5">
      <c r="A87"/>
      <c r="B87"/>
      <c r="C87"/>
    </row>
    <row r="88" spans="1:5">
      <c r="A88"/>
      <c r="B88"/>
      <c r="C88"/>
    </row>
    <row r="89" spans="1:5">
      <c r="A89"/>
      <c r="B89"/>
      <c r="C89"/>
    </row>
    <row r="90" spans="1:5">
      <c r="A90"/>
      <c r="B90"/>
      <c r="C90"/>
    </row>
    <row r="91" spans="1:5">
      <c r="A91"/>
      <c r="B91"/>
      <c r="C91"/>
    </row>
    <row r="92" spans="1:5">
      <c r="A92"/>
      <c r="B92"/>
      <c r="C92"/>
    </row>
  </sheetData>
  <mergeCells count="37">
    <mergeCell ref="G44:G45"/>
    <mergeCell ref="A57:A58"/>
    <mergeCell ref="B57:B58"/>
    <mergeCell ref="C57:C58"/>
    <mergeCell ref="D57:D58"/>
    <mergeCell ref="E57:E58"/>
    <mergeCell ref="F57:F58"/>
    <mergeCell ref="G57:G58"/>
    <mergeCell ref="A44:A45"/>
    <mergeCell ref="B44:B45"/>
    <mergeCell ref="C44:C45"/>
    <mergeCell ref="D44:D45"/>
    <mergeCell ref="E44:E45"/>
    <mergeCell ref="F44:F45"/>
    <mergeCell ref="G23:G24"/>
    <mergeCell ref="A34:A35"/>
    <mergeCell ref="B34:B35"/>
    <mergeCell ref="C34:C35"/>
    <mergeCell ref="D34:D35"/>
    <mergeCell ref="E34:E35"/>
    <mergeCell ref="F34:F35"/>
    <mergeCell ref="G34:G35"/>
    <mergeCell ref="A23:A24"/>
    <mergeCell ref="B23:B24"/>
    <mergeCell ref="C23:C24"/>
    <mergeCell ref="D23:D24"/>
    <mergeCell ref="E23:E24"/>
    <mergeCell ref="F23:F24"/>
    <mergeCell ref="A1:K6"/>
    <mergeCell ref="A14:A15"/>
    <mergeCell ref="B14:B15"/>
    <mergeCell ref="C14:C15"/>
    <mergeCell ref="D14:D15"/>
    <mergeCell ref="E14:E15"/>
    <mergeCell ref="F14:F15"/>
    <mergeCell ref="G14:G15"/>
    <mergeCell ref="K15:M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opLeftCell="A8" workbookViewId="0">
      <selection activeCell="E7" sqref="E7"/>
    </sheetView>
  </sheetViews>
  <sheetFormatPr baseColWidth="10" defaultRowHeight="13.8"/>
  <cols>
    <col min="2" max="2" width="11.59765625" bestFit="1" customWidth="1"/>
    <col min="6" max="6" width="22.8984375" customWidth="1"/>
    <col min="7" max="7" width="48.69921875" customWidth="1"/>
    <col min="8" max="8" width="23.69921875" customWidth="1"/>
  </cols>
  <sheetData>
    <row r="1" spans="1:10" ht="15.75" customHeight="1" thickBot="1">
      <c r="A1" s="2" t="s">
        <v>57</v>
      </c>
      <c r="B1" s="50" t="s">
        <v>5</v>
      </c>
      <c r="C1" s="9" t="s">
        <v>6</v>
      </c>
      <c r="D1" s="9" t="s">
        <v>7</v>
      </c>
      <c r="E1" s="9" t="s">
        <v>8</v>
      </c>
      <c r="F1" s="28" t="s">
        <v>9</v>
      </c>
      <c r="G1" s="9" t="s">
        <v>10</v>
      </c>
      <c r="H1" s="9" t="s">
        <v>11</v>
      </c>
      <c r="I1" s="9" t="s">
        <v>12</v>
      </c>
      <c r="J1" s="9" t="s">
        <v>13</v>
      </c>
    </row>
    <row r="2" spans="1:10" ht="15.6" thickBot="1">
      <c r="A2" s="2">
        <v>1</v>
      </c>
      <c r="B2" s="51">
        <v>46125</v>
      </c>
      <c r="C2" s="12">
        <v>0.72222222222222221</v>
      </c>
      <c r="D2" s="12">
        <v>0.78472222222222221</v>
      </c>
      <c r="E2" s="13"/>
      <c r="F2" s="34">
        <v>90</v>
      </c>
      <c r="G2" s="14" t="s">
        <v>14</v>
      </c>
      <c r="H2" s="13"/>
      <c r="I2" s="14" t="s">
        <v>15</v>
      </c>
      <c r="J2" s="13">
        <v>1</v>
      </c>
    </row>
    <row r="3" spans="1:10" ht="15.6" thickBot="1">
      <c r="A3" s="2">
        <v>1</v>
      </c>
      <c r="B3" s="51">
        <v>46127</v>
      </c>
      <c r="C3" s="12">
        <v>0.70833333333333337</v>
      </c>
      <c r="D3" s="12">
        <v>0.75</v>
      </c>
      <c r="E3" s="13"/>
      <c r="F3" s="34">
        <v>60</v>
      </c>
      <c r="G3" s="14" t="s">
        <v>16</v>
      </c>
      <c r="H3" s="14" t="s">
        <v>17</v>
      </c>
      <c r="I3" s="14" t="s">
        <v>15</v>
      </c>
      <c r="J3" s="14">
        <v>1</v>
      </c>
    </row>
    <row r="4" spans="1:10" ht="30.6" thickBot="1">
      <c r="A4" s="2">
        <v>2</v>
      </c>
      <c r="B4" s="51">
        <v>46132</v>
      </c>
      <c r="C4" s="12">
        <v>0.70833333333333337</v>
      </c>
      <c r="D4" s="12">
        <v>0.77083333333333337</v>
      </c>
      <c r="E4" s="13"/>
      <c r="F4" s="42">
        <v>90</v>
      </c>
      <c r="G4" s="14" t="s">
        <v>42</v>
      </c>
      <c r="H4" s="13"/>
      <c r="I4" s="14" t="s">
        <v>15</v>
      </c>
      <c r="J4" s="19">
        <v>1</v>
      </c>
    </row>
    <row r="5" spans="1:10" ht="15.6" thickBot="1">
      <c r="A5" s="2">
        <v>2</v>
      </c>
      <c r="B5" s="51">
        <v>46132</v>
      </c>
      <c r="C5" s="12">
        <v>0.76388888888888884</v>
      </c>
      <c r="D5" s="12">
        <v>0.83333333333333337</v>
      </c>
      <c r="E5" s="14">
        <v>20</v>
      </c>
      <c r="F5" s="34">
        <v>120</v>
      </c>
      <c r="G5" s="14" t="s">
        <v>19</v>
      </c>
      <c r="H5" s="14" t="s">
        <v>17</v>
      </c>
      <c r="I5" s="13"/>
      <c r="J5" s="14"/>
    </row>
    <row r="6" spans="1:10" ht="15.6" thickBot="1">
      <c r="A6" s="2">
        <v>2</v>
      </c>
      <c r="B6" s="51">
        <v>46134</v>
      </c>
      <c r="C6" s="12">
        <v>0.72222222222222221</v>
      </c>
      <c r="D6" s="12">
        <v>0.77083333333333337</v>
      </c>
      <c r="E6" s="13"/>
      <c r="F6" s="42">
        <v>70</v>
      </c>
      <c r="G6" s="14" t="s">
        <v>20</v>
      </c>
      <c r="H6" s="14" t="s">
        <v>21</v>
      </c>
      <c r="I6" s="19" t="s">
        <v>15</v>
      </c>
      <c r="J6" s="14">
        <v>1</v>
      </c>
    </row>
    <row r="7" spans="1:10" ht="15.6" thickBot="1">
      <c r="A7" s="2">
        <v>2</v>
      </c>
      <c r="B7" s="51">
        <v>46135</v>
      </c>
      <c r="C7" s="12">
        <v>0.33333333333333331</v>
      </c>
      <c r="D7" s="12">
        <v>0.375</v>
      </c>
      <c r="E7" s="13"/>
      <c r="F7" s="42">
        <v>60</v>
      </c>
      <c r="G7" s="14" t="s">
        <v>22</v>
      </c>
      <c r="H7" s="14" t="s">
        <v>23</v>
      </c>
      <c r="I7" s="14" t="s">
        <v>15</v>
      </c>
      <c r="J7" s="19">
        <v>1</v>
      </c>
    </row>
    <row r="8" spans="1:10" ht="19.5" customHeight="1" thickBot="1">
      <c r="A8" s="2">
        <v>3</v>
      </c>
      <c r="B8" s="51">
        <v>46139</v>
      </c>
      <c r="C8" s="12">
        <v>0.72222222222222221</v>
      </c>
      <c r="D8" s="12">
        <v>0.79166666666666663</v>
      </c>
      <c r="E8" s="13"/>
      <c r="F8" s="42">
        <v>100</v>
      </c>
      <c r="G8" s="14" t="s">
        <v>25</v>
      </c>
      <c r="H8" s="14" t="s">
        <v>26</v>
      </c>
      <c r="I8" s="14" t="s">
        <v>15</v>
      </c>
      <c r="J8" s="19">
        <v>1</v>
      </c>
    </row>
    <row r="9" spans="1:10" ht="15.6" thickBot="1">
      <c r="A9" s="2">
        <v>3</v>
      </c>
      <c r="B9" s="51">
        <v>46140</v>
      </c>
      <c r="C9" s="12">
        <v>6.25E-2</v>
      </c>
      <c r="D9" s="21">
        <v>0.10416666666666667</v>
      </c>
      <c r="E9" s="13"/>
      <c r="F9" s="39">
        <v>60</v>
      </c>
      <c r="G9" s="14" t="s">
        <v>27</v>
      </c>
      <c r="H9" s="13"/>
      <c r="I9" s="22" t="s">
        <v>15</v>
      </c>
      <c r="J9" s="23">
        <v>1</v>
      </c>
    </row>
    <row r="10" spans="1:10" ht="15.6" thickBot="1">
      <c r="A10" s="2">
        <v>3</v>
      </c>
      <c r="B10" s="51">
        <v>46141</v>
      </c>
      <c r="C10" s="12">
        <v>6.25E-2</v>
      </c>
      <c r="D10" s="21">
        <v>0.10416666666666667</v>
      </c>
      <c r="E10" s="13"/>
      <c r="F10" s="39">
        <v>60</v>
      </c>
      <c r="G10" s="14" t="s">
        <v>28</v>
      </c>
      <c r="H10" s="13"/>
      <c r="I10" s="22" t="s">
        <v>15</v>
      </c>
      <c r="J10" s="23">
        <v>1</v>
      </c>
    </row>
    <row r="11" spans="1:10" ht="15.6" thickBot="1">
      <c r="A11" s="2">
        <v>4</v>
      </c>
      <c r="B11" s="51">
        <v>46146</v>
      </c>
      <c r="C11" s="12">
        <v>0.75</v>
      </c>
      <c r="D11" s="12">
        <v>0.83333333333333337</v>
      </c>
      <c r="E11" s="13"/>
      <c r="F11" s="34">
        <v>120</v>
      </c>
      <c r="G11" s="14" t="s">
        <v>49</v>
      </c>
      <c r="H11" s="13"/>
      <c r="I11" s="14" t="s">
        <v>12</v>
      </c>
      <c r="J11" s="13">
        <v>1</v>
      </c>
    </row>
    <row r="12" spans="1:10" ht="30.6" thickBot="1">
      <c r="A12" s="2">
        <v>4</v>
      </c>
      <c r="B12" s="51">
        <v>46146</v>
      </c>
      <c r="C12" s="12">
        <v>0.85416666666666663</v>
      </c>
      <c r="D12" s="12">
        <v>0.95138888888888884</v>
      </c>
      <c r="E12" s="13"/>
      <c r="F12" s="34">
        <v>140</v>
      </c>
      <c r="G12" s="14" t="s">
        <v>44</v>
      </c>
      <c r="H12" s="13" t="s">
        <v>45</v>
      </c>
      <c r="I12" s="14" t="s">
        <v>12</v>
      </c>
      <c r="J12" s="19">
        <v>3</v>
      </c>
    </row>
    <row r="13" spans="1:10" ht="15.6" thickBot="1">
      <c r="A13" s="2">
        <v>4</v>
      </c>
      <c r="B13" s="51">
        <v>46148</v>
      </c>
      <c r="C13" s="12">
        <v>0.70833333333333337</v>
      </c>
      <c r="D13" s="12">
        <v>0.83333333333333337</v>
      </c>
      <c r="E13" s="13"/>
      <c r="F13" s="34">
        <v>180</v>
      </c>
      <c r="G13" s="14" t="s">
        <v>51</v>
      </c>
      <c r="H13" s="13"/>
      <c r="I13" s="14" t="s">
        <v>12</v>
      </c>
      <c r="J13" s="13">
        <v>1</v>
      </c>
    </row>
    <row r="14" spans="1:10" ht="15.6" thickBot="1">
      <c r="A14" s="2">
        <v>4</v>
      </c>
      <c r="B14" s="51">
        <v>46149</v>
      </c>
      <c r="C14" s="12">
        <v>0.70833333333333337</v>
      </c>
      <c r="D14" s="12">
        <v>0.83333333333333337</v>
      </c>
      <c r="E14" s="13"/>
      <c r="F14" s="34">
        <v>180</v>
      </c>
      <c r="G14" s="14" t="s">
        <v>50</v>
      </c>
      <c r="H14" s="13"/>
      <c r="I14" s="14"/>
      <c r="J14" s="13"/>
    </row>
    <row r="15" spans="1:10" ht="15.6" thickBot="1">
      <c r="A15" s="2">
        <v>4</v>
      </c>
      <c r="B15" s="51">
        <v>46150</v>
      </c>
      <c r="C15" s="12">
        <v>0.70833333333333337</v>
      </c>
      <c r="D15" s="12">
        <v>0.83333333333333337</v>
      </c>
      <c r="E15" s="13"/>
      <c r="F15" s="34">
        <v>180</v>
      </c>
      <c r="G15" s="14" t="s">
        <v>30</v>
      </c>
      <c r="H15" s="13"/>
      <c r="I15" s="14"/>
      <c r="J15" s="13"/>
    </row>
    <row r="16" spans="1:10" ht="15.6" thickBot="1">
      <c r="A16" s="2">
        <v>5</v>
      </c>
      <c r="B16" s="51">
        <v>46154</v>
      </c>
      <c r="C16" s="21">
        <v>0.83333333333333337</v>
      </c>
      <c r="D16" s="21">
        <v>0.95833333333333337</v>
      </c>
      <c r="E16" s="13"/>
      <c r="F16" s="39">
        <v>180</v>
      </c>
      <c r="G16" s="35" t="s">
        <v>48</v>
      </c>
      <c r="H16" s="38"/>
      <c r="I16" s="36" t="s">
        <v>12</v>
      </c>
      <c r="J16" s="13">
        <v>2</v>
      </c>
    </row>
    <row r="17" spans="1:10" ht="15.6" thickBot="1">
      <c r="A17" s="2">
        <v>5</v>
      </c>
      <c r="B17" s="51">
        <v>46154</v>
      </c>
      <c r="C17" s="21">
        <v>0.46875</v>
      </c>
      <c r="D17" s="21">
        <v>0.48958333333333331</v>
      </c>
      <c r="E17" s="13"/>
      <c r="F17" s="39">
        <v>30</v>
      </c>
      <c r="G17" s="35" t="s">
        <v>46</v>
      </c>
      <c r="H17" s="38" t="s">
        <v>47</v>
      </c>
      <c r="I17" s="36" t="s">
        <v>12</v>
      </c>
      <c r="J17" s="13">
        <v>1</v>
      </c>
    </row>
    <row r="18" spans="1:10" ht="15.6" thickBot="1">
      <c r="A18" s="2">
        <v>5</v>
      </c>
      <c r="B18" s="51">
        <v>46155</v>
      </c>
      <c r="C18" s="12">
        <v>0.83333333333333337</v>
      </c>
      <c r="D18" s="12">
        <v>0.85416666666666663</v>
      </c>
      <c r="E18" s="13"/>
      <c r="F18" s="39">
        <v>30</v>
      </c>
      <c r="G18" s="14" t="s">
        <v>43</v>
      </c>
      <c r="H18" s="37"/>
      <c r="I18" s="14" t="s">
        <v>12</v>
      </c>
      <c r="J18" s="13">
        <v>1</v>
      </c>
    </row>
    <row r="19" spans="1:10" ht="15.6" thickBot="1">
      <c r="A19" s="2">
        <v>5</v>
      </c>
      <c r="B19" s="54">
        <v>46156</v>
      </c>
      <c r="C19" s="25">
        <v>0.85416666666666663</v>
      </c>
      <c r="D19" s="25">
        <v>0.99305555555555547</v>
      </c>
      <c r="E19" s="26"/>
      <c r="F19" s="44">
        <v>200</v>
      </c>
      <c r="G19" s="9" t="s">
        <v>32</v>
      </c>
      <c r="H19" s="9" t="s">
        <v>33</v>
      </c>
      <c r="I19" s="9" t="s">
        <v>12</v>
      </c>
      <c r="J19" s="26">
        <v>1</v>
      </c>
    </row>
    <row r="20" spans="1:10" ht="30.6" thickBot="1">
      <c r="A20" s="2">
        <v>5</v>
      </c>
      <c r="B20" s="51">
        <v>46159</v>
      </c>
      <c r="C20" s="12">
        <v>0.5</v>
      </c>
      <c r="D20" s="12">
        <v>0.625</v>
      </c>
      <c r="E20" s="13"/>
      <c r="F20" s="39">
        <v>180</v>
      </c>
      <c r="G20" s="14" t="s">
        <v>39</v>
      </c>
      <c r="H20" s="13" t="s">
        <v>40</v>
      </c>
      <c r="I20" s="14" t="s">
        <v>12</v>
      </c>
      <c r="J20" s="27">
        <v>1</v>
      </c>
    </row>
    <row r="21" spans="1:10" ht="15.6" thickBot="1">
      <c r="A21" s="2">
        <v>5</v>
      </c>
      <c r="B21" s="55">
        <v>46159</v>
      </c>
      <c r="C21" s="30">
        <v>0.83333333333333337</v>
      </c>
      <c r="D21" s="30">
        <v>0.95833333333333337</v>
      </c>
      <c r="E21" s="31"/>
      <c r="F21" s="45">
        <v>180</v>
      </c>
      <c r="G21" s="32" t="s">
        <v>41</v>
      </c>
      <c r="H21" s="32"/>
      <c r="I21" s="32" t="s">
        <v>12</v>
      </c>
      <c r="J21" s="3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V37"/>
  <sheetViews>
    <sheetView tabSelected="1" workbookViewId="0">
      <selection activeCell="C7" sqref="C7"/>
    </sheetView>
  </sheetViews>
  <sheetFormatPr baseColWidth="10" defaultRowHeight="13.8"/>
  <cols>
    <col min="1" max="1" width="16.8984375" customWidth="1"/>
    <col min="2" max="2" width="27.5" customWidth="1"/>
    <col min="3" max="3" width="6.296875" customWidth="1"/>
    <col min="4" max="4" width="28.296875" customWidth="1"/>
    <col min="5" max="5" width="53.09765625" customWidth="1"/>
    <col min="6" max="6" width="30" customWidth="1"/>
    <col min="7" max="7" width="30.296875" customWidth="1"/>
    <col min="8" max="8" width="33.8984375" customWidth="1"/>
    <col min="9" max="10" width="26.296875" customWidth="1"/>
    <col min="11" max="11" width="25.59765625" customWidth="1"/>
    <col min="12" max="12" width="7.5" customWidth="1"/>
    <col min="13" max="13" width="19.3984375" customWidth="1"/>
    <col min="14" max="14" width="33" bestFit="1" customWidth="1"/>
    <col min="15" max="16" width="25.796875" customWidth="1"/>
    <col min="17" max="17" width="9.09765625" bestFit="1" customWidth="1"/>
    <col min="18" max="18" width="27.09765625" customWidth="1"/>
    <col min="19" max="19" width="31.296875" customWidth="1"/>
    <col min="20" max="20" width="22" bestFit="1" customWidth="1"/>
    <col min="21" max="21" width="19.3984375" bestFit="1" customWidth="1"/>
    <col min="22" max="22" width="12.296875" customWidth="1"/>
  </cols>
  <sheetData>
    <row r="13" spans="1:22" ht="21">
      <c r="A13" s="53" t="s">
        <v>64</v>
      </c>
    </row>
    <row r="15" spans="1:22">
      <c r="A15" s="47" t="s">
        <v>55</v>
      </c>
      <c r="B15" s="47" t="s">
        <v>54</v>
      </c>
    </row>
    <row r="16" spans="1:22">
      <c r="A16" s="47" t="s">
        <v>52</v>
      </c>
      <c r="B16" t="s">
        <v>22</v>
      </c>
      <c r="C16" t="s">
        <v>14</v>
      </c>
      <c r="D16" t="s">
        <v>20</v>
      </c>
      <c r="E16" t="s">
        <v>42</v>
      </c>
      <c r="F16" t="s">
        <v>43</v>
      </c>
      <c r="G16" t="s">
        <v>25</v>
      </c>
      <c r="H16" t="s">
        <v>49</v>
      </c>
      <c r="I16" t="s">
        <v>27</v>
      </c>
      <c r="J16" t="s">
        <v>28</v>
      </c>
      <c r="K16" t="s">
        <v>41</v>
      </c>
      <c r="L16" t="s">
        <v>16</v>
      </c>
      <c r="M16" t="s">
        <v>32</v>
      </c>
      <c r="N16" t="s">
        <v>51</v>
      </c>
      <c r="O16" t="s">
        <v>50</v>
      </c>
      <c r="P16" t="s">
        <v>30</v>
      </c>
      <c r="Q16" t="s">
        <v>19</v>
      </c>
      <c r="R16" t="s">
        <v>44</v>
      </c>
      <c r="S16" t="s">
        <v>46</v>
      </c>
      <c r="T16" t="s">
        <v>48</v>
      </c>
      <c r="U16" t="s">
        <v>39</v>
      </c>
      <c r="V16" t="s">
        <v>53</v>
      </c>
    </row>
    <row r="17" spans="1:22">
      <c r="A17" s="48" t="s">
        <v>58</v>
      </c>
      <c r="B17" s="46">
        <v>60</v>
      </c>
      <c r="C17" s="46">
        <v>90</v>
      </c>
      <c r="D17" s="46">
        <v>70</v>
      </c>
      <c r="E17" s="46">
        <v>90</v>
      </c>
      <c r="F17" s="46"/>
      <c r="G17" s="46">
        <v>100</v>
      </c>
      <c r="H17" s="46"/>
      <c r="I17" s="46">
        <v>60</v>
      </c>
      <c r="J17" s="46">
        <v>60</v>
      </c>
      <c r="K17" s="46"/>
      <c r="L17" s="46">
        <v>60</v>
      </c>
      <c r="M17" s="46"/>
      <c r="N17" s="46"/>
      <c r="O17" s="46"/>
      <c r="P17" s="46"/>
      <c r="Q17" s="46">
        <v>120</v>
      </c>
      <c r="R17" s="46"/>
      <c r="S17" s="46"/>
      <c r="T17" s="46"/>
      <c r="U17" s="46"/>
      <c r="V17" s="46">
        <v>710</v>
      </c>
    </row>
    <row r="18" spans="1:22">
      <c r="A18" s="48" t="s">
        <v>80</v>
      </c>
      <c r="B18" s="46"/>
      <c r="C18" s="46"/>
      <c r="D18" s="46"/>
      <c r="E18" s="46"/>
      <c r="F18" s="46">
        <v>30</v>
      </c>
      <c r="G18" s="46"/>
      <c r="H18" s="46">
        <v>120</v>
      </c>
      <c r="I18" s="46"/>
      <c r="J18" s="46"/>
      <c r="K18" s="46">
        <v>180</v>
      </c>
      <c r="L18" s="46"/>
      <c r="M18" s="46">
        <v>200</v>
      </c>
      <c r="N18" s="46">
        <v>180</v>
      </c>
      <c r="O18" s="46">
        <v>180</v>
      </c>
      <c r="P18" s="46">
        <v>180</v>
      </c>
      <c r="Q18" s="46"/>
      <c r="R18" s="46">
        <v>140</v>
      </c>
      <c r="S18" s="46">
        <v>30</v>
      </c>
      <c r="T18" s="46">
        <v>180</v>
      </c>
      <c r="U18" s="46">
        <v>180</v>
      </c>
      <c r="V18" s="46">
        <v>1600</v>
      </c>
    </row>
    <row r="19" spans="1:22">
      <c r="A19" s="48" t="s">
        <v>53</v>
      </c>
      <c r="B19" s="46">
        <v>60</v>
      </c>
      <c r="C19" s="46">
        <v>90</v>
      </c>
      <c r="D19" s="46">
        <v>70</v>
      </c>
      <c r="E19" s="46">
        <v>90</v>
      </c>
      <c r="F19" s="46">
        <v>30</v>
      </c>
      <c r="G19" s="46">
        <v>100</v>
      </c>
      <c r="H19" s="46">
        <v>120</v>
      </c>
      <c r="I19" s="46">
        <v>60</v>
      </c>
      <c r="J19" s="46">
        <v>60</v>
      </c>
      <c r="K19" s="46">
        <v>180</v>
      </c>
      <c r="L19" s="46">
        <v>60</v>
      </c>
      <c r="M19" s="46">
        <v>200</v>
      </c>
      <c r="N19" s="46">
        <v>180</v>
      </c>
      <c r="O19" s="46">
        <v>180</v>
      </c>
      <c r="P19" s="46">
        <v>180</v>
      </c>
      <c r="Q19" s="46">
        <v>120</v>
      </c>
      <c r="R19" s="46">
        <v>140</v>
      </c>
      <c r="S19" s="46">
        <v>30</v>
      </c>
      <c r="T19" s="46">
        <v>180</v>
      </c>
      <c r="U19" s="46">
        <v>180</v>
      </c>
      <c r="V19" s="46">
        <v>2310</v>
      </c>
    </row>
    <row r="37" spans="1:4">
      <c r="A37" s="48"/>
      <c r="B37" s="46"/>
      <c r="C37" s="46"/>
      <c r="D37" s="46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sqref="A1:D6"/>
    </sheetView>
  </sheetViews>
  <sheetFormatPr baseColWidth="10" defaultRowHeight="13.8"/>
  <cols>
    <col min="1" max="1" width="16.8984375" bestFit="1" customWidth="1"/>
    <col min="2" max="2" width="27.5" bestFit="1" customWidth="1"/>
    <col min="3" max="3" width="6.296875" customWidth="1"/>
    <col min="4" max="4" width="28.296875" bestFit="1" customWidth="1"/>
    <col min="5" max="5" width="53.09765625" bestFit="1" customWidth="1"/>
    <col min="6" max="6" width="30" bestFit="1" customWidth="1"/>
    <col min="7" max="7" width="30.296875" bestFit="1" customWidth="1"/>
    <col min="8" max="8" width="33.8984375" bestFit="1" customWidth="1"/>
    <col min="9" max="10" width="26.296875" bestFit="1" customWidth="1"/>
    <col min="11" max="11" width="25.59765625" bestFit="1" customWidth="1"/>
    <col min="12" max="12" width="7.5" customWidth="1"/>
    <col min="13" max="13" width="19.3984375" bestFit="1" customWidth="1"/>
    <col min="14" max="14" width="33" bestFit="1" customWidth="1"/>
    <col min="15" max="16" width="25.796875" bestFit="1" customWidth="1"/>
    <col min="17" max="17" width="9.09765625" customWidth="1"/>
    <col min="18" max="18" width="27.09765625" bestFit="1" customWidth="1"/>
    <col min="19" max="19" width="31.296875" bestFit="1" customWidth="1"/>
    <col min="20" max="20" width="22" bestFit="1" customWidth="1"/>
    <col min="21" max="21" width="19.3984375" bestFit="1" customWidth="1"/>
    <col min="22" max="22" width="12.296875" bestFit="1" customWidth="1"/>
  </cols>
  <sheetData>
    <row r="1" spans="1:22" ht="21">
      <c r="A1" s="53" t="s">
        <v>61</v>
      </c>
    </row>
    <row r="3" spans="1:22">
      <c r="A3" s="47" t="s">
        <v>56</v>
      </c>
      <c r="B3" s="47" t="s">
        <v>54</v>
      </c>
    </row>
    <row r="4" spans="1:22">
      <c r="A4" s="47" t="s">
        <v>52</v>
      </c>
      <c r="B4" t="s">
        <v>22</v>
      </c>
      <c r="C4" t="s">
        <v>14</v>
      </c>
      <c r="D4" t="s">
        <v>20</v>
      </c>
      <c r="E4" t="s">
        <v>42</v>
      </c>
      <c r="F4" t="s">
        <v>43</v>
      </c>
      <c r="G4" t="s">
        <v>25</v>
      </c>
      <c r="H4" t="s">
        <v>49</v>
      </c>
      <c r="I4" t="s">
        <v>27</v>
      </c>
      <c r="J4" t="s">
        <v>28</v>
      </c>
      <c r="K4" t="s">
        <v>41</v>
      </c>
      <c r="L4" t="s">
        <v>16</v>
      </c>
      <c r="M4" t="s">
        <v>32</v>
      </c>
      <c r="N4" t="s">
        <v>51</v>
      </c>
      <c r="O4" t="s">
        <v>50</v>
      </c>
      <c r="P4" t="s">
        <v>30</v>
      </c>
      <c r="Q4" t="s">
        <v>19</v>
      </c>
      <c r="R4" t="s">
        <v>44</v>
      </c>
      <c r="S4" t="s">
        <v>46</v>
      </c>
      <c r="T4" t="s">
        <v>48</v>
      </c>
      <c r="U4" t="s">
        <v>39</v>
      </c>
      <c r="V4" t="s">
        <v>53</v>
      </c>
    </row>
    <row r="5" spans="1:22">
      <c r="A5" s="48" t="s">
        <v>58</v>
      </c>
      <c r="B5" s="46">
        <v>60</v>
      </c>
      <c r="C5" s="46">
        <v>90</v>
      </c>
      <c r="D5" s="46">
        <v>70</v>
      </c>
      <c r="E5" s="46">
        <v>90</v>
      </c>
      <c r="F5" s="46"/>
      <c r="G5" s="46">
        <v>100</v>
      </c>
      <c r="H5" s="46"/>
      <c r="I5" s="46">
        <v>60</v>
      </c>
      <c r="J5" s="46">
        <v>60</v>
      </c>
      <c r="K5" s="46"/>
      <c r="L5" s="46">
        <v>60</v>
      </c>
      <c r="M5" s="46"/>
      <c r="N5" s="46"/>
      <c r="O5" s="46"/>
      <c r="P5" s="46"/>
      <c r="Q5" s="46">
        <v>120</v>
      </c>
      <c r="R5" s="46"/>
      <c r="S5" s="46"/>
      <c r="T5" s="46"/>
      <c r="U5" s="46"/>
      <c r="V5" s="46">
        <v>120</v>
      </c>
    </row>
    <row r="6" spans="1:22">
      <c r="A6" s="48" t="s">
        <v>80</v>
      </c>
      <c r="B6" s="46"/>
      <c r="C6" s="46"/>
      <c r="D6" s="46"/>
      <c r="E6" s="46"/>
      <c r="F6" s="46">
        <v>30</v>
      </c>
      <c r="G6" s="46"/>
      <c r="H6" s="46">
        <v>120</v>
      </c>
      <c r="I6" s="46"/>
      <c r="J6" s="46"/>
      <c r="K6" s="46">
        <v>180</v>
      </c>
      <c r="L6" s="46"/>
      <c r="M6" s="46">
        <v>200</v>
      </c>
      <c r="N6" s="46">
        <v>180</v>
      </c>
      <c r="O6" s="46">
        <v>180</v>
      </c>
      <c r="P6" s="46">
        <v>180</v>
      </c>
      <c r="Q6" s="46"/>
      <c r="R6" s="46">
        <v>140</v>
      </c>
      <c r="S6" s="46">
        <v>30</v>
      </c>
      <c r="T6" s="46">
        <v>180</v>
      </c>
      <c r="U6" s="46">
        <v>180</v>
      </c>
      <c r="V6" s="46">
        <v>200</v>
      </c>
    </row>
    <row r="7" spans="1:22">
      <c r="A7" s="48" t="s">
        <v>53</v>
      </c>
      <c r="B7" s="46">
        <v>60</v>
      </c>
      <c r="C7" s="46">
        <v>90</v>
      </c>
      <c r="D7" s="46">
        <v>70</v>
      </c>
      <c r="E7" s="46">
        <v>90</v>
      </c>
      <c r="F7" s="46">
        <v>30</v>
      </c>
      <c r="G7" s="46">
        <v>100</v>
      </c>
      <c r="H7" s="46">
        <v>120</v>
      </c>
      <c r="I7" s="46">
        <v>60</v>
      </c>
      <c r="J7" s="46">
        <v>60</v>
      </c>
      <c r="K7" s="46">
        <v>180</v>
      </c>
      <c r="L7" s="46">
        <v>60</v>
      </c>
      <c r="M7" s="46">
        <v>200</v>
      </c>
      <c r="N7" s="46">
        <v>180</v>
      </c>
      <c r="O7" s="46">
        <v>180</v>
      </c>
      <c r="P7" s="46">
        <v>180</v>
      </c>
      <c r="Q7" s="46">
        <v>120</v>
      </c>
      <c r="R7" s="46">
        <v>140</v>
      </c>
      <c r="S7" s="46">
        <v>30</v>
      </c>
      <c r="T7" s="46">
        <v>180</v>
      </c>
      <c r="U7" s="46">
        <v>180</v>
      </c>
      <c r="V7" s="46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sqref="A1:D6"/>
    </sheetView>
  </sheetViews>
  <sheetFormatPr baseColWidth="10" defaultRowHeight="13.8"/>
  <cols>
    <col min="1" max="1" width="16.8984375" bestFit="1" customWidth="1"/>
    <col min="2" max="2" width="27.5" bestFit="1" customWidth="1"/>
    <col min="3" max="3" width="6.296875" customWidth="1"/>
    <col min="4" max="4" width="28.296875" bestFit="1" customWidth="1"/>
    <col min="5" max="5" width="53.09765625" bestFit="1" customWidth="1"/>
    <col min="6" max="6" width="30" bestFit="1" customWidth="1"/>
    <col min="7" max="7" width="30.296875" bestFit="1" customWidth="1"/>
    <col min="8" max="8" width="33.8984375" bestFit="1" customWidth="1"/>
    <col min="9" max="10" width="26.296875" bestFit="1" customWidth="1"/>
    <col min="11" max="11" width="25.59765625" bestFit="1" customWidth="1"/>
    <col min="12" max="12" width="7.5" customWidth="1"/>
    <col min="13" max="13" width="19.3984375" bestFit="1" customWidth="1"/>
    <col min="14" max="14" width="33" bestFit="1" customWidth="1"/>
    <col min="15" max="16" width="25.796875" bestFit="1" customWidth="1"/>
    <col min="17" max="17" width="9.09765625" customWidth="1"/>
    <col min="18" max="18" width="27.09765625" bestFit="1" customWidth="1"/>
    <col min="19" max="19" width="31.296875" bestFit="1" customWidth="1"/>
    <col min="20" max="20" width="22" bestFit="1" customWidth="1"/>
    <col min="21" max="21" width="19.3984375" bestFit="1" customWidth="1"/>
    <col min="22" max="22" width="12.296875" bestFit="1" customWidth="1"/>
  </cols>
  <sheetData>
    <row r="1" spans="1:22" ht="21">
      <c r="A1" s="53" t="s">
        <v>62</v>
      </c>
    </row>
    <row r="3" spans="1:22">
      <c r="A3" s="47" t="s">
        <v>59</v>
      </c>
      <c r="B3" s="47" t="s">
        <v>54</v>
      </c>
    </row>
    <row r="4" spans="1:22">
      <c r="A4" s="47" t="s">
        <v>52</v>
      </c>
      <c r="B4" t="s">
        <v>22</v>
      </c>
      <c r="C4" t="s">
        <v>14</v>
      </c>
      <c r="D4" t="s">
        <v>20</v>
      </c>
      <c r="E4" t="s">
        <v>42</v>
      </c>
      <c r="F4" t="s">
        <v>43</v>
      </c>
      <c r="G4" t="s">
        <v>25</v>
      </c>
      <c r="H4" t="s">
        <v>49</v>
      </c>
      <c r="I4" t="s">
        <v>27</v>
      </c>
      <c r="J4" t="s">
        <v>28</v>
      </c>
      <c r="K4" t="s">
        <v>41</v>
      </c>
      <c r="L4" t="s">
        <v>16</v>
      </c>
      <c r="M4" t="s">
        <v>32</v>
      </c>
      <c r="N4" t="s">
        <v>51</v>
      </c>
      <c r="O4" t="s">
        <v>50</v>
      </c>
      <c r="P4" t="s">
        <v>30</v>
      </c>
      <c r="Q4" t="s">
        <v>19</v>
      </c>
      <c r="R4" t="s">
        <v>44</v>
      </c>
      <c r="S4" t="s">
        <v>46</v>
      </c>
      <c r="T4" t="s">
        <v>48</v>
      </c>
      <c r="U4" t="s">
        <v>39</v>
      </c>
      <c r="V4" t="s">
        <v>53</v>
      </c>
    </row>
    <row r="5" spans="1:22">
      <c r="A5" s="48" t="s">
        <v>58</v>
      </c>
      <c r="B5" s="46">
        <v>60</v>
      </c>
      <c r="C5" s="46">
        <v>90</v>
      </c>
      <c r="D5" s="46">
        <v>70</v>
      </c>
      <c r="E5" s="46">
        <v>90</v>
      </c>
      <c r="F5" s="46"/>
      <c r="G5" s="46">
        <v>100</v>
      </c>
      <c r="H5" s="46"/>
      <c r="I5" s="46">
        <v>60</v>
      </c>
      <c r="J5" s="46">
        <v>60</v>
      </c>
      <c r="K5" s="46"/>
      <c r="L5" s="46">
        <v>60</v>
      </c>
      <c r="M5" s="46"/>
      <c r="N5" s="46"/>
      <c r="O5" s="46"/>
      <c r="P5" s="46"/>
      <c r="Q5" s="46">
        <v>120</v>
      </c>
      <c r="R5" s="46"/>
      <c r="S5" s="46"/>
      <c r="T5" s="46"/>
      <c r="U5" s="46"/>
      <c r="V5" s="46">
        <v>60</v>
      </c>
    </row>
    <row r="6" spans="1:22">
      <c r="A6" s="48" t="s">
        <v>80</v>
      </c>
      <c r="B6" s="46"/>
      <c r="C6" s="46"/>
      <c r="D6" s="46"/>
      <c r="E6" s="46"/>
      <c r="F6" s="46">
        <v>30</v>
      </c>
      <c r="G6" s="46"/>
      <c r="H6" s="46">
        <v>120</v>
      </c>
      <c r="I6" s="46"/>
      <c r="J6" s="46"/>
      <c r="K6" s="46">
        <v>180</v>
      </c>
      <c r="L6" s="46"/>
      <c r="M6" s="46">
        <v>200</v>
      </c>
      <c r="N6" s="46">
        <v>180</v>
      </c>
      <c r="O6" s="46">
        <v>180</v>
      </c>
      <c r="P6" s="46">
        <v>180</v>
      </c>
      <c r="Q6" s="46"/>
      <c r="R6" s="46">
        <v>140</v>
      </c>
      <c r="S6" s="46">
        <v>30</v>
      </c>
      <c r="T6" s="46">
        <v>180</v>
      </c>
      <c r="U6" s="46">
        <v>180</v>
      </c>
      <c r="V6" s="46">
        <v>30</v>
      </c>
    </row>
    <row r="7" spans="1:22">
      <c r="A7" s="48" t="s">
        <v>53</v>
      </c>
      <c r="B7" s="46">
        <v>60</v>
      </c>
      <c r="C7" s="46">
        <v>90</v>
      </c>
      <c r="D7" s="46">
        <v>70</v>
      </c>
      <c r="E7" s="46">
        <v>90</v>
      </c>
      <c r="F7" s="46">
        <v>30</v>
      </c>
      <c r="G7" s="46">
        <v>100</v>
      </c>
      <c r="H7" s="46">
        <v>120</v>
      </c>
      <c r="I7" s="46">
        <v>60</v>
      </c>
      <c r="J7" s="46">
        <v>60</v>
      </c>
      <c r="K7" s="46">
        <v>180</v>
      </c>
      <c r="L7" s="46">
        <v>60</v>
      </c>
      <c r="M7" s="46">
        <v>200</v>
      </c>
      <c r="N7" s="46">
        <v>180</v>
      </c>
      <c r="O7" s="46">
        <v>180</v>
      </c>
      <c r="P7" s="46">
        <v>180</v>
      </c>
      <c r="Q7" s="46">
        <v>120</v>
      </c>
      <c r="R7" s="46">
        <v>140</v>
      </c>
      <c r="S7" s="46">
        <v>30</v>
      </c>
      <c r="T7" s="46">
        <v>180</v>
      </c>
      <c r="U7" s="46">
        <v>180</v>
      </c>
      <c r="V7" s="46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sqref="A1:D6"/>
    </sheetView>
  </sheetViews>
  <sheetFormatPr baseColWidth="10" defaultRowHeight="13.8"/>
  <cols>
    <col min="1" max="1" width="19.296875" bestFit="1" customWidth="1"/>
    <col min="2" max="2" width="27.5" bestFit="1" customWidth="1"/>
    <col min="3" max="3" width="6.296875" customWidth="1"/>
    <col min="4" max="4" width="28.296875" bestFit="1" customWidth="1"/>
    <col min="5" max="5" width="53.09765625" bestFit="1" customWidth="1"/>
    <col min="6" max="6" width="30" bestFit="1" customWidth="1"/>
    <col min="7" max="7" width="30.296875" bestFit="1" customWidth="1"/>
    <col min="8" max="8" width="33.8984375" bestFit="1" customWidth="1"/>
    <col min="9" max="10" width="26.296875" bestFit="1" customWidth="1"/>
    <col min="11" max="11" width="25.59765625" bestFit="1" customWidth="1"/>
    <col min="12" max="12" width="7.5" customWidth="1"/>
    <col min="13" max="13" width="19.3984375" bestFit="1" customWidth="1"/>
    <col min="14" max="14" width="33" bestFit="1" customWidth="1"/>
    <col min="15" max="16" width="25.796875" bestFit="1" customWidth="1"/>
    <col min="17" max="17" width="9.09765625" customWidth="1"/>
    <col min="18" max="18" width="27.09765625" bestFit="1" customWidth="1"/>
    <col min="19" max="19" width="31.296875" bestFit="1" customWidth="1"/>
    <col min="20" max="20" width="22" bestFit="1" customWidth="1"/>
    <col min="21" max="21" width="19.3984375" bestFit="1" customWidth="1"/>
    <col min="22" max="22" width="12.296875" bestFit="1" customWidth="1"/>
  </cols>
  <sheetData>
    <row r="1" spans="1:22" ht="21">
      <c r="A1" s="53" t="s">
        <v>63</v>
      </c>
    </row>
    <row r="3" spans="1:22">
      <c r="A3" s="47" t="s">
        <v>60</v>
      </c>
      <c r="B3" s="47" t="s">
        <v>54</v>
      </c>
    </row>
    <row r="4" spans="1:22">
      <c r="A4" s="47" t="s">
        <v>52</v>
      </c>
      <c r="B4" t="s">
        <v>22</v>
      </c>
      <c r="C4" t="s">
        <v>14</v>
      </c>
      <c r="D4" t="s">
        <v>20</v>
      </c>
      <c r="E4" t="s">
        <v>42</v>
      </c>
      <c r="F4" t="s">
        <v>43</v>
      </c>
      <c r="G4" t="s">
        <v>25</v>
      </c>
      <c r="H4" t="s">
        <v>49</v>
      </c>
      <c r="I4" t="s">
        <v>27</v>
      </c>
      <c r="J4" t="s">
        <v>28</v>
      </c>
      <c r="K4" t="s">
        <v>41</v>
      </c>
      <c r="L4" t="s">
        <v>16</v>
      </c>
      <c r="M4" t="s">
        <v>32</v>
      </c>
      <c r="N4" t="s">
        <v>51</v>
      </c>
      <c r="O4" t="s">
        <v>50</v>
      </c>
      <c r="P4" t="s">
        <v>30</v>
      </c>
      <c r="Q4" t="s">
        <v>19</v>
      </c>
      <c r="R4" t="s">
        <v>44</v>
      </c>
      <c r="S4" t="s">
        <v>46</v>
      </c>
      <c r="T4" t="s">
        <v>48</v>
      </c>
      <c r="U4" t="s">
        <v>39</v>
      </c>
      <c r="V4" t="s">
        <v>53</v>
      </c>
    </row>
    <row r="5" spans="1:22">
      <c r="A5" s="48" t="s">
        <v>58</v>
      </c>
      <c r="B5" s="46">
        <v>60</v>
      </c>
      <c r="C5" s="46">
        <v>90</v>
      </c>
      <c r="D5" s="46">
        <v>70</v>
      </c>
      <c r="E5" s="46">
        <v>90</v>
      </c>
      <c r="F5" s="46"/>
      <c r="G5" s="46">
        <v>100</v>
      </c>
      <c r="H5" s="46"/>
      <c r="I5" s="46">
        <v>60</v>
      </c>
      <c r="J5" s="46">
        <v>60</v>
      </c>
      <c r="K5" s="46"/>
      <c r="L5" s="46">
        <v>60</v>
      </c>
      <c r="M5" s="46"/>
      <c r="N5" s="46"/>
      <c r="O5" s="46"/>
      <c r="P5" s="46"/>
      <c r="Q5" s="46">
        <v>120</v>
      </c>
      <c r="R5" s="46"/>
      <c r="S5" s="46"/>
      <c r="T5" s="46"/>
      <c r="U5" s="46"/>
      <c r="V5" s="46">
        <v>78.888888888888886</v>
      </c>
    </row>
    <row r="6" spans="1:22">
      <c r="A6" s="48" t="s">
        <v>80</v>
      </c>
      <c r="B6" s="46"/>
      <c r="C6" s="46"/>
      <c r="D6" s="46"/>
      <c r="E6" s="46"/>
      <c r="F6" s="46">
        <v>30</v>
      </c>
      <c r="G6" s="46"/>
      <c r="H6" s="46">
        <v>120</v>
      </c>
      <c r="I6" s="46"/>
      <c r="J6" s="46"/>
      <c r="K6" s="46">
        <v>180</v>
      </c>
      <c r="L6" s="46"/>
      <c r="M6" s="46">
        <v>200</v>
      </c>
      <c r="N6" s="46">
        <v>180</v>
      </c>
      <c r="O6" s="46">
        <v>180</v>
      </c>
      <c r="P6" s="46">
        <v>180</v>
      </c>
      <c r="Q6" s="46"/>
      <c r="R6" s="46">
        <v>140</v>
      </c>
      <c r="S6" s="46">
        <v>30</v>
      </c>
      <c r="T6" s="46">
        <v>180</v>
      </c>
      <c r="U6" s="46">
        <v>180</v>
      </c>
      <c r="V6" s="46">
        <v>145.45454545454547</v>
      </c>
    </row>
    <row r="7" spans="1:22">
      <c r="A7" s="48" t="s">
        <v>53</v>
      </c>
      <c r="B7" s="46">
        <v>60</v>
      </c>
      <c r="C7" s="46">
        <v>90</v>
      </c>
      <c r="D7" s="46">
        <v>70</v>
      </c>
      <c r="E7" s="46">
        <v>90</v>
      </c>
      <c r="F7" s="46">
        <v>30</v>
      </c>
      <c r="G7" s="46">
        <v>100</v>
      </c>
      <c r="H7" s="46">
        <v>120</v>
      </c>
      <c r="I7" s="46">
        <v>60</v>
      </c>
      <c r="J7" s="46">
        <v>60</v>
      </c>
      <c r="K7" s="46">
        <v>180</v>
      </c>
      <c r="L7" s="46">
        <v>60</v>
      </c>
      <c r="M7" s="46">
        <v>200</v>
      </c>
      <c r="N7" s="46">
        <v>180</v>
      </c>
      <c r="O7" s="46">
        <v>180</v>
      </c>
      <c r="P7" s="46">
        <v>180</v>
      </c>
      <c r="Q7" s="46">
        <v>120</v>
      </c>
      <c r="R7" s="46">
        <v>140</v>
      </c>
      <c r="S7" s="46">
        <v>30</v>
      </c>
      <c r="T7" s="46">
        <v>180</v>
      </c>
      <c r="U7" s="46">
        <v>180</v>
      </c>
      <c r="V7" s="46">
        <v>115.5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Portada</vt:lpstr>
      <vt:lpstr>índice</vt:lpstr>
      <vt:lpstr>Actividades dividas por semana</vt:lpstr>
      <vt:lpstr>Concentrado de las actividades</vt:lpstr>
      <vt:lpstr>Suma</vt:lpstr>
      <vt:lpstr>Máximos</vt:lpstr>
      <vt:lpstr>Mínimos</vt:lpstr>
      <vt:lpstr>Promedio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Jaqueline</dc:creator>
  <cp:lastModifiedBy>Krishna .</cp:lastModifiedBy>
  <dcterms:created xsi:type="dcterms:W3CDTF">2026-05-17T21:03:35Z</dcterms:created>
  <dcterms:modified xsi:type="dcterms:W3CDTF">2026-05-18T03:44:04Z</dcterms:modified>
</cp:coreProperties>
</file>